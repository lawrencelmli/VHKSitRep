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349128AB-BAA9-4E33-9BD2-B934B954C5FC}" xr6:coauthVersionLast="45" xr6:coauthVersionMax="45" xr10:uidLastSave="{00000000-0000-0000-0000-000000000000}"/>
  <bookViews>
    <workbookView xWindow="7200" yWindow="2550" windowWidth="21600" windowHeight="11505" xr2:uid="{00000000-000D-0000-FFFF-FFFF00000000}"/>
  </bookViews>
  <sheets>
    <sheet name="Night Capacity Report" sheetId="10" r:id="rId1"/>
    <sheet name="Safety Huddle" sheetId="12" r:id="rId2"/>
    <sheet name="Sitrep 0830" sheetId="5" r:id="rId3"/>
    <sheet name="Sitrep 1300" sheetId="14" r:id="rId4"/>
    <sheet name="Sitrep 1700" sheetId="6" r:id="rId5"/>
    <sheet name="Sitrep 1900" sheetId="15" r:id="rId6"/>
    <sheet name="Rag Status" sheetId="13" state="hidden" r:id="rId7"/>
    <sheet name="Activity Summary" sheetId="16" r:id="rId8"/>
  </sheets>
  <definedNames>
    <definedName name="_xlnm.Print_Area" localSheetId="1">'Safety Huddle'!$A$1:$O$23</definedName>
    <definedName name="_xlnm.Print_Area" localSheetId="2">'Sitrep 0830'!$A$1:$V$52</definedName>
    <definedName name="_xlnm.Print_Area" localSheetId="5">'Sitrep 1900'!$A$1:$O$45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9" i="16" l="1"/>
  <c r="G45" i="15"/>
  <c r="F45" i="15"/>
  <c r="E45" i="15"/>
  <c r="D45" i="15"/>
  <c r="B45" i="15"/>
  <c r="H44" i="15"/>
  <c r="H43" i="15"/>
  <c r="G41" i="15"/>
  <c r="F41" i="15"/>
  <c r="E41" i="15"/>
  <c r="D41" i="15"/>
  <c r="B41" i="15"/>
  <c r="H40" i="15"/>
  <c r="H39" i="15"/>
  <c r="H38" i="15"/>
  <c r="H37" i="15"/>
  <c r="H36" i="15"/>
  <c r="H35" i="15"/>
  <c r="H34" i="15"/>
  <c r="G32" i="15"/>
  <c r="F32" i="15"/>
  <c r="E32" i="15"/>
  <c r="D32" i="15"/>
  <c r="F11" i="15" s="1"/>
  <c r="B32" i="15"/>
  <c r="H31" i="15"/>
  <c r="H30" i="15"/>
  <c r="O29" i="15"/>
  <c r="H29" i="15"/>
  <c r="O28" i="15"/>
  <c r="H28" i="15"/>
  <c r="O27" i="15"/>
  <c r="H27" i="15"/>
  <c r="O26" i="15"/>
  <c r="H26" i="15"/>
  <c r="O25" i="15"/>
  <c r="H25" i="15"/>
  <c r="H24" i="15"/>
  <c r="H23" i="15"/>
  <c r="H22" i="15"/>
  <c r="H21" i="15"/>
  <c r="H20" i="15"/>
  <c r="H19" i="15"/>
  <c r="H18" i="15"/>
  <c r="K12" i="15"/>
  <c r="F12" i="15"/>
  <c r="K11" i="15"/>
  <c r="O9" i="15"/>
  <c r="K7" i="15"/>
  <c r="F7" i="15"/>
  <c r="G46" i="14"/>
  <c r="F46" i="14"/>
  <c r="E46" i="14"/>
  <c r="D46" i="14"/>
  <c r="B46" i="14"/>
  <c r="H45" i="14"/>
  <c r="H44" i="14"/>
  <c r="G42" i="14"/>
  <c r="F42" i="14"/>
  <c r="E42" i="14"/>
  <c r="D42" i="14"/>
  <c r="B42" i="14"/>
  <c r="H40" i="14"/>
  <c r="H39" i="14"/>
  <c r="H38" i="14"/>
  <c r="H37" i="14"/>
  <c r="H36" i="14"/>
  <c r="H35" i="14"/>
  <c r="H34" i="14"/>
  <c r="G32" i="14"/>
  <c r="F32" i="14"/>
  <c r="F12" i="14" s="1"/>
  <c r="E32" i="14"/>
  <c r="D32" i="14"/>
  <c r="F11" i="14" s="1"/>
  <c r="B32" i="14"/>
  <c r="H31" i="14"/>
  <c r="H30" i="14"/>
  <c r="O29" i="14"/>
  <c r="H29" i="14"/>
  <c r="O28" i="14"/>
  <c r="H28" i="14"/>
  <c r="O27" i="14"/>
  <c r="H27" i="14"/>
  <c r="O26" i="14"/>
  <c r="H26" i="14"/>
  <c r="O25" i="14"/>
  <c r="H25" i="14"/>
  <c r="H24" i="14"/>
  <c r="H23" i="14"/>
  <c r="H22" i="14"/>
  <c r="H21" i="14"/>
  <c r="H20" i="14"/>
  <c r="H19" i="14"/>
  <c r="H18" i="14"/>
  <c r="K12" i="14"/>
  <c r="K11" i="14"/>
  <c r="O9" i="14"/>
  <c r="K7" i="14"/>
  <c r="F7" i="14"/>
  <c r="F16" i="13"/>
  <c r="S25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18" i="5"/>
  <c r="D21" i="13"/>
  <c r="D26" i="13"/>
  <c r="E1" i="13"/>
  <c r="C1" i="13"/>
  <c r="E16" i="13"/>
  <c r="D15" i="13"/>
  <c r="F10" i="13"/>
  <c r="F9" i="13"/>
  <c r="F8" i="13"/>
  <c r="F7" i="13"/>
  <c r="G32" i="5"/>
  <c r="F32" i="5"/>
  <c r="E32" i="5"/>
  <c r="D32" i="5"/>
  <c r="E42" i="5"/>
  <c r="O12" i="15" l="1"/>
  <c r="H41" i="15"/>
  <c r="H45" i="15"/>
  <c r="H32" i="15"/>
  <c r="H46" i="14"/>
  <c r="H42" i="14"/>
  <c r="O12" i="14"/>
  <c r="H32" i="14"/>
  <c r="O7" i="15"/>
  <c r="O7" i="14"/>
  <c r="O11" i="15"/>
  <c r="O11" i="14"/>
  <c r="C14" i="13"/>
  <c r="I7" i="12" l="1"/>
  <c r="F6" i="13" s="1"/>
  <c r="H20" i="6" l="1"/>
  <c r="H21" i="6"/>
  <c r="H22" i="6"/>
  <c r="H23" i="6"/>
  <c r="H24" i="6"/>
  <c r="H25" i="6"/>
  <c r="H26" i="6"/>
  <c r="H27" i="6"/>
  <c r="H28" i="6"/>
  <c r="H29" i="6"/>
  <c r="H30" i="6"/>
  <c r="H31" i="6"/>
  <c r="B32" i="6"/>
  <c r="B32" i="5"/>
  <c r="I3" i="12" l="1"/>
  <c r="H32" i="5"/>
  <c r="J12" i="5" l="1"/>
  <c r="K12" i="6"/>
  <c r="D42" i="6"/>
  <c r="E42" i="6"/>
  <c r="G42" i="5"/>
  <c r="F42" i="5"/>
  <c r="D42" i="5"/>
  <c r="K11" i="6"/>
  <c r="J11" i="5"/>
  <c r="M9" i="12"/>
  <c r="I2" i="12"/>
  <c r="M8" i="12"/>
  <c r="B42" i="6"/>
  <c r="B42" i="5"/>
  <c r="H37" i="6"/>
  <c r="H45" i="6"/>
  <c r="H44" i="6"/>
  <c r="H35" i="6"/>
  <c r="H36" i="6"/>
  <c r="H38" i="6"/>
  <c r="H39" i="6"/>
  <c r="H40" i="6"/>
  <c r="H34" i="6"/>
  <c r="H19" i="6"/>
  <c r="H18" i="6"/>
  <c r="O26" i="6"/>
  <c r="O27" i="6"/>
  <c r="O28" i="6"/>
  <c r="O29" i="6"/>
  <c r="O25" i="6"/>
  <c r="K7" i="6"/>
  <c r="F7" i="6"/>
  <c r="C22" i="10"/>
  <c r="F46" i="5"/>
  <c r="E12" i="5"/>
  <c r="K46" i="5"/>
  <c r="J46" i="5"/>
  <c r="K42" i="5"/>
  <c r="J42" i="5"/>
  <c r="K32" i="5"/>
  <c r="J32" i="5"/>
  <c r="S26" i="5"/>
  <c r="S27" i="5"/>
  <c r="S28" i="5"/>
  <c r="S29" i="5"/>
  <c r="P9" i="5"/>
  <c r="P7" i="5"/>
  <c r="E20" i="13" s="1"/>
  <c r="C35" i="10"/>
  <c r="C31" i="10"/>
  <c r="G46" i="6"/>
  <c r="F46" i="6"/>
  <c r="E46" i="6"/>
  <c r="D46" i="6"/>
  <c r="B46" i="6"/>
  <c r="G42" i="6"/>
  <c r="F42" i="6"/>
  <c r="G32" i="6"/>
  <c r="F32" i="6"/>
  <c r="E32" i="6"/>
  <c r="D32" i="6"/>
  <c r="F11" i="6" s="1"/>
  <c r="O9" i="6"/>
  <c r="K6" i="6" l="1"/>
  <c r="K8" i="6" s="1"/>
  <c r="K10" i="6" s="1"/>
  <c r="K13" i="6" s="1"/>
  <c r="K6" i="15"/>
  <c r="K8" i="15" s="1"/>
  <c r="K10" i="15" s="1"/>
  <c r="K13" i="15" s="1"/>
  <c r="K6" i="14"/>
  <c r="K8" i="14" s="1"/>
  <c r="K10" i="14" s="1"/>
  <c r="K13" i="14" s="1"/>
  <c r="H32" i="6"/>
  <c r="J56" i="5"/>
  <c r="F56" i="5"/>
  <c r="H42" i="5"/>
  <c r="K56" i="5"/>
  <c r="M10" i="12"/>
  <c r="C42" i="5"/>
  <c r="J8" i="5"/>
  <c r="J10" i="5" s="1"/>
  <c r="J13" i="5" s="1"/>
  <c r="C46" i="5"/>
  <c r="C32" i="5"/>
  <c r="O7" i="6"/>
  <c r="F12" i="6"/>
  <c r="O12" i="6" s="1"/>
  <c r="H46" i="6"/>
  <c r="H42" i="6"/>
  <c r="O11" i="6"/>
  <c r="G46" i="5"/>
  <c r="H46" i="5"/>
  <c r="I46" i="5"/>
  <c r="I42" i="5"/>
  <c r="I32" i="5"/>
  <c r="B46" i="5"/>
  <c r="E14" i="13" s="1"/>
  <c r="E46" i="5"/>
  <c r="E56" i="5" s="1"/>
  <c r="D46" i="5"/>
  <c r="D16" i="13" s="1"/>
  <c r="D14" i="13" l="1"/>
  <c r="F14" i="13"/>
  <c r="E6" i="5"/>
  <c r="E11" i="5"/>
  <c r="H56" i="5"/>
  <c r="I56" i="5"/>
  <c r="D56" i="5"/>
  <c r="G56" i="5"/>
  <c r="P12" i="5"/>
  <c r="F20" i="13" s="1"/>
  <c r="F21" i="13" s="1"/>
  <c r="F6" i="6" l="1"/>
  <c r="F8" i="6" s="1"/>
  <c r="F6" i="15"/>
  <c r="F6" i="14"/>
  <c r="E8" i="5"/>
  <c r="P8" i="5" s="1"/>
  <c r="P6" i="5"/>
  <c r="P11" i="5"/>
  <c r="O6" i="6" l="1"/>
  <c r="F8" i="15"/>
  <c r="O6" i="15"/>
  <c r="F8" i="14"/>
  <c r="O6" i="14"/>
  <c r="E10" i="5"/>
  <c r="E13" i="5" s="1"/>
  <c r="P13" i="5" s="1"/>
  <c r="F10" i="6"/>
  <c r="O8" i="6"/>
  <c r="F10" i="15" l="1"/>
  <c r="O8" i="15"/>
  <c r="O8" i="14"/>
  <c r="F10" i="14"/>
  <c r="P10" i="5"/>
  <c r="F13" i="6"/>
  <c r="O13" i="6" s="1"/>
  <c r="O10" i="6"/>
  <c r="O10" i="15" l="1"/>
  <c r="F13" i="15"/>
  <c r="O13" i="15" s="1"/>
  <c r="O10" i="14"/>
  <c r="F13" i="14"/>
  <c r="O13" i="14" s="1"/>
</calcChain>
</file>

<file path=xl/sharedStrings.xml><?xml version="1.0" encoding="utf-8"?>
<sst xmlns="http://schemas.openxmlformats.org/spreadsheetml/2006/main" count="575" uniqueCount="219">
  <si>
    <t xml:space="preserve">Date:                           </t>
  </si>
  <si>
    <t>Day of the week:</t>
  </si>
  <si>
    <t>Time:</t>
  </si>
  <si>
    <t>Remaining Today:</t>
  </si>
  <si>
    <t>Admissions So Far:</t>
  </si>
  <si>
    <t>EMERGENCY CARE</t>
  </si>
  <si>
    <t xml:space="preserve"> </t>
  </si>
  <si>
    <t>PLANNED CARE</t>
  </si>
  <si>
    <t>Beds available now:</t>
  </si>
  <si>
    <t>Ward</t>
  </si>
  <si>
    <t>AU1</t>
  </si>
  <si>
    <t>AU2</t>
  </si>
  <si>
    <t>Predicted Balance:</t>
  </si>
  <si>
    <t>TOTALS</t>
  </si>
  <si>
    <t>Predicted Total Admissions:</t>
  </si>
  <si>
    <t>Agreed Additional Capacity</t>
  </si>
  <si>
    <t>ENT</t>
  </si>
  <si>
    <t>Electives:</t>
  </si>
  <si>
    <t>Predicted Emergency Admissions:</t>
  </si>
  <si>
    <t>Total:</t>
  </si>
  <si>
    <t>Definite Discharges</t>
  </si>
  <si>
    <t>21/23</t>
  </si>
  <si>
    <t>Totals</t>
  </si>
  <si>
    <t>Discharges before 12pm</t>
  </si>
  <si>
    <t>End of day position</t>
  </si>
  <si>
    <t>Chair</t>
  </si>
  <si>
    <t>Definite &amp; Expected Discharges:</t>
  </si>
  <si>
    <t>RHDU (3)</t>
  </si>
  <si>
    <t>CCU (8)</t>
  </si>
  <si>
    <t>MHDU (8)</t>
  </si>
  <si>
    <t>SHDU (8)</t>
  </si>
  <si>
    <t>Empty Beds Now</t>
  </si>
  <si>
    <t>FLOW</t>
  </si>
  <si>
    <t>Number of Additional Beds in use</t>
  </si>
  <si>
    <t>Planned Admissions today</t>
  </si>
  <si>
    <t>Discharges</t>
  </si>
  <si>
    <t>Critical Care</t>
  </si>
  <si>
    <t>Total number in department</t>
  </si>
  <si>
    <t>Longest Wait</t>
  </si>
  <si>
    <t>Longest time to 1st assessment</t>
  </si>
  <si>
    <t>Number of patients with DTA</t>
  </si>
  <si>
    <t>Number of patients breached since midnight</t>
  </si>
  <si>
    <t>VICTORIA HOSPITAL SAFETY HUDDLE - FLOW</t>
  </si>
  <si>
    <t>A&amp;E</t>
  </si>
  <si>
    <t>Number of ward fit patients</t>
  </si>
  <si>
    <t>Are you safe to start</t>
  </si>
  <si>
    <r>
      <t xml:space="preserve">Number of patients </t>
    </r>
    <r>
      <rPr>
        <b/>
        <sz val="9"/>
        <color rgb="FFFF0000"/>
        <rFont val="Arial"/>
        <family val="2"/>
      </rPr>
      <t>&gt; 3 hours</t>
    </r>
  </si>
  <si>
    <t>Access Quotas</t>
  </si>
  <si>
    <t>Victoria Hospital Night Report</t>
  </si>
  <si>
    <t>Wards</t>
  </si>
  <si>
    <t>Date:</t>
  </si>
  <si>
    <t>Prepared By:</t>
  </si>
  <si>
    <t>Senior Manager:</t>
  </si>
  <si>
    <t>Bed Compliment</t>
  </si>
  <si>
    <t>Empty Beds    Now</t>
  </si>
  <si>
    <t>Additional Beds in use</t>
  </si>
  <si>
    <t>Medical</t>
  </si>
  <si>
    <t>Ortho</t>
  </si>
  <si>
    <t>Total</t>
  </si>
  <si>
    <t>Surgical</t>
  </si>
  <si>
    <t>Calls made after 8pm to On Call Manager</t>
  </si>
  <si>
    <t>Escalation</t>
  </si>
  <si>
    <t>Number of patients in EMOU (6)</t>
  </si>
  <si>
    <t>Discharges achieved before 1pm</t>
  </si>
  <si>
    <t>Capacity</t>
  </si>
  <si>
    <t>Staffing</t>
  </si>
  <si>
    <t xml:space="preserve">Incident </t>
  </si>
  <si>
    <t xml:space="preserve">Planned admissions still to accomodate </t>
  </si>
  <si>
    <t>Discharges achieved before 5pm</t>
  </si>
  <si>
    <t>ADDITIONAL CAPACITY</t>
  </si>
  <si>
    <t>Electives still to be accomodated (GP's on board AU1 &amp; AU2))</t>
  </si>
  <si>
    <t>SEAL</t>
  </si>
  <si>
    <t>CLU</t>
  </si>
  <si>
    <t>OBSERVATION</t>
  </si>
  <si>
    <t>MLU</t>
  </si>
  <si>
    <t>MATERNITY WARD</t>
  </si>
  <si>
    <t>CHILDRENS WARD</t>
  </si>
  <si>
    <t>NEONATAL UNIT</t>
  </si>
  <si>
    <t>RN Shortfall</t>
  </si>
  <si>
    <t>nRN Shortfall</t>
  </si>
  <si>
    <t>Number of patients boarding in your ward</t>
  </si>
  <si>
    <t>Speciality</t>
  </si>
  <si>
    <t>Number &gt; 5 days</t>
  </si>
  <si>
    <t>Number of new patients boarded yesterday</t>
  </si>
  <si>
    <t>ITU (9)</t>
  </si>
  <si>
    <t>/</t>
  </si>
  <si>
    <t>Site Position</t>
  </si>
  <si>
    <t>Capacity Activity</t>
  </si>
  <si>
    <t>Total presentations to ED:</t>
  </si>
  <si>
    <t>Breaches &amp; Performance:</t>
  </si>
  <si>
    <t>Discharges achieved EC:</t>
  </si>
  <si>
    <t>Discharges achieved PC:</t>
  </si>
  <si>
    <t>Admissions against predicted EC:</t>
  </si>
  <si>
    <t>Admissions against predicted PC:</t>
  </si>
  <si>
    <t>Before 1pm</t>
  </si>
  <si>
    <t>Occupancy</t>
  </si>
  <si>
    <t>Total presentations to AA Ax U:</t>
  </si>
  <si>
    <t>Total discharges from AA Ax:</t>
  </si>
  <si>
    <t>Transfer profile from AU1:</t>
  </si>
  <si>
    <t>08:00 - 13:00</t>
  </si>
  <si>
    <t>After 8pm</t>
  </si>
  <si>
    <t>13:00 - 20:00</t>
  </si>
  <si>
    <t>Hospital at Night</t>
  </si>
  <si>
    <t>Patients who require early review:</t>
  </si>
  <si>
    <t>Number of falls reported:</t>
  </si>
  <si>
    <t>Any expected deaths:</t>
  </si>
  <si>
    <t>Any unexpected deaths:</t>
  </si>
  <si>
    <t>Number of cardiac arrests:</t>
  </si>
  <si>
    <t xml:space="preserve">AU1 Assessment </t>
  </si>
  <si>
    <t>Patients Now</t>
  </si>
  <si>
    <t>Bed Required</t>
  </si>
  <si>
    <t>Ongoing Assessment</t>
  </si>
  <si>
    <t>Expected Discharges</t>
  </si>
  <si>
    <t>Yes</t>
  </si>
  <si>
    <t>Total patients:</t>
  </si>
  <si>
    <t>Patients with delirium who require review:</t>
  </si>
  <si>
    <t>Speciality Bed Waits</t>
  </si>
  <si>
    <r>
      <rPr>
        <b/>
        <sz val="9"/>
        <rFont val="Arial"/>
        <family val="2"/>
      </rPr>
      <t>Empty Beds Now</t>
    </r>
    <r>
      <rPr>
        <sz val="9"/>
        <rFont val="Arial"/>
        <family val="2"/>
      </rPr>
      <t xml:space="preserve">                                                         (leave blank if no beds available)                 </t>
    </r>
  </si>
  <si>
    <t xml:space="preserve">AU2 Assessment </t>
  </si>
  <si>
    <t xml:space="preserve">  </t>
  </si>
  <si>
    <t>Additional Capacity in Use:</t>
  </si>
  <si>
    <t>Electivesto be accomodated (GP's on board AU1 &amp; AU2))</t>
  </si>
  <si>
    <t>Planned Activity Tomorrow</t>
  </si>
  <si>
    <t>Emergency Care</t>
  </si>
  <si>
    <t>Planned Care</t>
  </si>
  <si>
    <t>Rag Status</t>
  </si>
  <si>
    <t>Green</t>
  </si>
  <si>
    <t>EDD due today</t>
  </si>
  <si>
    <t>EDD</t>
  </si>
  <si>
    <t>Number of patients in ED and AU1au awaiting a bed</t>
  </si>
  <si>
    <t>EDD Elapsed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</si>
  <si>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</si>
  <si>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</si>
  <si>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</si>
  <si>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</si>
  <si>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</si>
  <si>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</si>
  <si>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</si>
  <si>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</si>
  <si>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</si>
  <si>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</si>
  <si>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</si>
  <si>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</si>
  <si>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</si>
  <si>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</si>
  <si>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</si>
  <si>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</si>
  <si>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</si>
  <si>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</si>
  <si>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</si>
  <si>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</si>
  <si>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</si>
  <si>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</si>
  <si>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</si>
  <si>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</si>
  <si>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</si>
  <si>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</si>
  <si>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</si>
  <si>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</si>
  <si>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</si>
  <si>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</si>
  <si>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</si>
  <si>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</si>
  <si>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</si>
  <si>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</si>
  <si>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</si>
  <si>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</si>
  <si>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</si>
  <si>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</si>
  <si>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</si>
  <si>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</si>
  <si>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</si>
  <si>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</si>
  <si>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 xml:space="preserve">Ward </t>
  </si>
  <si>
    <r>
      <t>ITU (</t>
    </r>
    <r>
      <rPr>
        <b/>
        <sz val="9"/>
        <color rgb="FF0033CC"/>
        <rFont val="Arial"/>
        <family val="2"/>
      </rPr>
      <t>9</t>
    </r>
    <r>
      <rPr>
        <sz val="9"/>
        <rFont val="Arial"/>
        <family val="2"/>
      </rPr>
      <t>)</t>
    </r>
  </si>
  <si>
    <r>
      <t>SHDU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</si>
  <si>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MHDU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</si>
  <si>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RHDU (</t>
    </r>
    <r>
      <rPr>
        <b/>
        <sz val="9"/>
        <color rgb="FF0033CC"/>
        <rFont val="Arial"/>
        <family val="2"/>
      </rPr>
      <t>3</t>
    </r>
    <r>
      <rPr>
        <sz val="9"/>
        <rFont val="Arial"/>
        <family val="2"/>
      </rPr>
      <t>)</t>
    </r>
  </si>
  <si>
    <r>
      <t>CCU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</si>
  <si>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t>Adult Bed Occupancy:</t>
  </si>
  <si>
    <t xml:space="preserve">             </t>
  </si>
  <si>
    <t>Ortho Trauma List</t>
  </si>
  <si>
    <t>SSSU</t>
  </si>
  <si>
    <t>Any other comments or seperate reported incidents and to whom:</t>
  </si>
  <si>
    <t>IOLS</t>
  </si>
  <si>
    <t>ED</t>
  </si>
  <si>
    <t xml:space="preserve">Attendances since midnight </t>
  </si>
  <si>
    <t>Attendances since midnight</t>
  </si>
  <si>
    <t>Patients Boarding Yesterday</t>
  </si>
  <si>
    <t>Patients Boarding Today</t>
  </si>
  <si>
    <t xml:space="preserve">RAG Status and Adult Bed Occupancy  </t>
  </si>
  <si>
    <t xml:space="preserve">RAG Status and Additional Bed Occupancy  </t>
  </si>
  <si>
    <t>ED Presentations</t>
  </si>
  <si>
    <t>Patients admitted from ED</t>
  </si>
  <si>
    <t>Breaches</t>
  </si>
  <si>
    <t>Performance</t>
  </si>
  <si>
    <t xml:space="preserve">             Boarding Activity</t>
  </si>
  <si>
    <t xml:space="preserve">             Activity Summary</t>
  </si>
  <si>
    <t xml:space="preserve">             Care &amp; Treatment</t>
  </si>
  <si>
    <t xml:space="preserve">Wards: </t>
  </si>
  <si>
    <t>90.8%</t>
  </si>
  <si>
    <t>&gt; 5 days</t>
  </si>
  <si>
    <t xml:space="preserve">Area:: </t>
  </si>
  <si>
    <t>NHS Fife Victoria Hospital Safety Huddle</t>
  </si>
  <si>
    <t xml:space="preserve">L.TREWAVAS </t>
  </si>
  <si>
    <t>01.02.2020</t>
  </si>
  <si>
    <t xml:space="preserve">BLACK/GALLOWAY </t>
  </si>
  <si>
    <t xml:space="preserve">AU1 AX </t>
  </si>
  <si>
    <t>SATURDAY</t>
  </si>
  <si>
    <t>G FINLAYSON</t>
  </si>
  <si>
    <t>2h 56m</t>
  </si>
  <si>
    <t>0h 08m</t>
  </si>
  <si>
    <t>4H 26M</t>
  </si>
  <si>
    <t>1H 06M</t>
  </si>
  <si>
    <t>GFINLAYSON</t>
  </si>
  <si>
    <t>3h 30m</t>
  </si>
  <si>
    <t>0h 23m</t>
  </si>
  <si>
    <t>Spare</t>
  </si>
  <si>
    <t>Additional Comments are written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</si>
</sst>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8"/>
      <color rgb="FFFF0000"/>
      <name val="Arial"/>
      <family val="2"/>
    </font>
    <font>
      <sz val="8"/>
      <color rgb="FF0033CC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0033CC"/>
      <name val="Arial"/>
      <family val="2"/>
    </font>
    <font>
      <b/>
      <sz val="12"/>
      <color rgb="FF7030A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9"/>
      <color rgb="FF0033CC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8"/>
      <color rgb="FFFF0000"/>
      <name val="Arial"/>
      <family val="2"/>
    </font>
    <font>
      <sz val="9"/>
      <color rgb="FFFF0000"/>
      <name val="Arial"/>
      <family val="2"/>
    </font>
    <font>
      <b/>
      <sz val="14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4"/>
      <color theme="0"/>
      <name val="Arial"/>
      <family val="2"/>
    </font>
    <font>
      <b/>
      <sz val="18"/>
      <color rgb="FFE36C0A"/>
      <name val="Arial"/>
      <family val="2"/>
    </font>
    <font>
      <b/>
      <sz val="18"/>
      <color rgb="FF00B050"/>
      <name val="Arial"/>
      <family val="2"/>
    </font>
    <font>
      <sz val="11"/>
      <color theme="1"/>
      <name val="Arial"/>
      <family val="2"/>
    </font>
    <font>
      <sz val="11"/>
      <color rgb="FF0000FF"/>
      <name val="Arial"/>
      <family val="2"/>
    </font>
    <font>
      <b/>
      <sz val="12"/>
      <color theme="9" tint="-0.249977111117893"/>
      <name val="Arial"/>
      <family val="2"/>
    </font>
    <font>
      <b/>
      <sz val="14"/>
      <color rgb="FF7030A0"/>
      <name val="Arial"/>
      <family val="2"/>
    </font>
    <font>
      <b/>
      <sz val="18"/>
      <color theme="9" tint="-0.249977111117893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b/>
      <sz val="12"/>
      <color theme="9" tint="-0.499984740745262"/>
      <name val="Arial"/>
      <family val="2"/>
    </font>
    <font>
      <b/>
      <sz val="12"/>
      <color theme="4" tint="-0.249977111117893"/>
      <name val="Arial"/>
      <family val="2"/>
    </font>
    <font>
      <b/>
      <sz val="18"/>
      <color theme="9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C090"/>
        <bgColor rgb="FF000000"/>
      </patternFill>
    </fill>
    <fill>
      <patternFill patternType="solid">
        <fgColor rgb="FFFFC000"/>
        <bgColor indexed="64"/>
      </patternFill>
    </fill>
    <fill>
      <patternFill patternType="lightUp">
        <bgColor theme="0"/>
      </patternFill>
    </fill>
    <fill>
      <patternFill patternType="lightUp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rgb="FFFF0000"/>
      </top>
      <bottom style="medium">
        <color indexed="64"/>
      </bottom>
      <diagonal/>
    </border>
  </borders>
  <cellStyleXfs count="4">
    <xf numFmtId="0" fontId="0" fillId="0" borderId="0"/>
    <xf numFmtId="0" fontId="26" fillId="28" borderId="67" applyNumberFormat="0" applyAlignment="0" applyProtection="0"/>
    <xf numFmtId="0" fontId="1" fillId="0" borderId="0"/>
    <xf numFmtId="0" fontId="15" fillId="0" borderId="0"/>
  </cellStyleXfs>
  <cellXfs count="799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Border="1" applyAlignment="1"/>
    <xf numFmtId="0" fontId="2" fillId="13" borderId="24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13" borderId="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14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8" borderId="7" xfId="0" applyFont="1" applyFill="1" applyBorder="1" applyAlignment="1" applyProtection="1">
      <alignment horizontal="center" vertical="center"/>
      <protection locked="0"/>
    </xf>
    <xf numFmtId="0" fontId="2" fillId="0" borderId="46" xfId="0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>
      <alignment horizontal="center" vertical="center"/>
    </xf>
    <xf numFmtId="0" fontId="2" fillId="0" borderId="47" xfId="0" applyFont="1" applyBorder="1" applyAlignment="1" applyProtection="1">
      <alignment horizontal="center" vertical="center"/>
      <protection locked="0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20" borderId="1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 vertical="center"/>
    </xf>
    <xf numFmtId="0" fontId="17" fillId="0" borderId="0" xfId="0" applyFont="1" applyAlignment="1"/>
    <xf numFmtId="0" fontId="17" fillId="0" borderId="0" xfId="0" applyFont="1" applyBorder="1" applyAlignment="1"/>
    <xf numFmtId="0" fontId="17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/>
    <xf numFmtId="0" fontId="17" fillId="0" borderId="0" xfId="0" applyFont="1" applyBorder="1" applyAlignment="1">
      <alignment vertical="center"/>
    </xf>
    <xf numFmtId="0" fontId="17" fillId="0" borderId="0" xfId="0" applyFont="1" applyFill="1" applyBorder="1" applyAlignment="1"/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29" xfId="0" applyFont="1" applyBorder="1"/>
    <xf numFmtId="0" fontId="17" fillId="0" borderId="27" xfId="0" applyFont="1" applyBorder="1"/>
    <xf numFmtId="0" fontId="17" fillId="0" borderId="1" xfId="0" applyFont="1" applyBorder="1" applyAlignment="1" applyProtection="1">
      <alignment horizontal="center" vertical="center"/>
    </xf>
    <xf numFmtId="0" fontId="17" fillId="0" borderId="16" xfId="0" applyFont="1" applyBorder="1"/>
    <xf numFmtId="0" fontId="21" fillId="0" borderId="0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</xf>
    <xf numFmtId="0" fontId="17" fillId="0" borderId="34" xfId="0" applyFont="1" applyBorder="1" applyAlignment="1" applyProtection="1">
      <alignment horizontal="center" vertical="center"/>
    </xf>
    <xf numFmtId="0" fontId="17" fillId="0" borderId="8" xfId="0" applyFont="1" applyBorder="1" applyAlignment="1" applyProtection="1">
      <alignment horizontal="center" vertical="center"/>
    </xf>
    <xf numFmtId="0" fontId="17" fillId="0" borderId="0" xfId="0" applyFont="1" applyBorder="1" applyProtection="1"/>
    <xf numFmtId="0" fontId="22" fillId="14" borderId="18" xfId="0" applyFont="1" applyFill="1" applyBorder="1" applyAlignment="1" applyProtection="1">
      <alignment horizontal="center" vertical="center"/>
      <protection locked="0"/>
    </xf>
    <xf numFmtId="0" fontId="23" fillId="0" borderId="44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2" fillId="0" borderId="4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 wrapText="1"/>
    </xf>
    <xf numFmtId="0" fontId="2" fillId="20" borderId="53" xfId="0" applyFont="1" applyFill="1" applyBorder="1" applyAlignment="1">
      <alignment vertical="center"/>
    </xf>
    <xf numFmtId="0" fontId="2" fillId="7" borderId="5" xfId="0" applyFont="1" applyFill="1" applyBorder="1" applyAlignment="1" applyProtection="1">
      <alignment horizontal="center" vertical="center"/>
    </xf>
    <xf numFmtId="0" fontId="2" fillId="7" borderId="14" xfId="0" applyFont="1" applyFill="1" applyBorder="1" applyAlignment="1" applyProtection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2" fillId="20" borderId="14" xfId="0" applyFont="1" applyFill="1" applyBorder="1" applyAlignment="1" applyProtection="1">
      <alignment horizontal="center" vertical="center"/>
    </xf>
    <xf numFmtId="0" fontId="2" fillId="20" borderId="1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20" borderId="47" xfId="0" applyFont="1" applyFill="1" applyBorder="1" applyAlignment="1" applyProtection="1">
      <alignment horizontal="center" vertical="center"/>
    </xf>
    <xf numFmtId="0" fontId="2" fillId="20" borderId="1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0" fontId="6" fillId="19" borderId="1" xfId="0" applyFont="1" applyFill="1" applyBorder="1" applyAlignment="1" applyProtection="1">
      <alignment horizontal="center" vertical="center"/>
      <protection locked="0"/>
    </xf>
    <xf numFmtId="0" fontId="6" fillId="19" borderId="14" xfId="0" applyFont="1" applyFill="1" applyBorder="1" applyAlignment="1" applyProtection="1">
      <alignment horizontal="center" vertical="center"/>
      <protection locked="0"/>
    </xf>
    <xf numFmtId="0" fontId="6" fillId="19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6" fillId="19" borderId="47" xfId="0" applyFont="1" applyFill="1" applyBorder="1" applyAlignment="1" applyProtection="1">
      <alignment horizontal="center" vertical="center"/>
      <protection locked="0"/>
    </xf>
    <xf numFmtId="0" fontId="2" fillId="0" borderId="59" xfId="0" applyFont="1" applyFill="1" applyBorder="1" applyAlignment="1" applyProtection="1">
      <alignment horizontal="center" vertical="center"/>
      <protection locked="0"/>
    </xf>
    <xf numFmtId="0" fontId="3" fillId="27" borderId="24" xfId="0" applyFont="1" applyFill="1" applyBorder="1" applyAlignment="1">
      <alignment horizontal="center" vertical="center" wrapText="1"/>
    </xf>
    <xf numFmtId="0" fontId="3" fillId="27" borderId="6" xfId="0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6" xfId="0" applyFont="1" applyBorder="1" applyAlignment="1" applyProtection="1">
      <alignment horizontal="center" vertical="center"/>
      <protection locked="0"/>
    </xf>
    <xf numFmtId="14" fontId="2" fillId="0" borderId="6" xfId="0" applyNumberFormat="1" applyFont="1" applyFill="1" applyBorder="1" applyAlignment="1" applyProtection="1">
      <alignment horizontal="center" vertical="center"/>
      <protection locked="0"/>
    </xf>
    <xf numFmtId="0" fontId="21" fillId="0" borderId="9" xfId="0" applyFont="1" applyFill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0" borderId="65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6" xfId="0" applyFont="1" applyFill="1" applyBorder="1" applyAlignment="1">
      <alignment horizontal="center" vertical="center" wrapText="1"/>
    </xf>
    <xf numFmtId="0" fontId="15" fillId="17" borderId="6" xfId="0" applyFont="1" applyFill="1" applyBorder="1" applyAlignment="1">
      <alignment horizontal="left" vertical="center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36" xfId="0" applyFont="1" applyFill="1" applyBorder="1" applyAlignment="1" applyProtection="1">
      <alignment horizontal="center" vertical="center"/>
      <protection locked="0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35" xfId="0" applyFont="1" applyFill="1" applyBorder="1" applyAlignment="1" applyProtection="1">
      <alignment horizontal="center" vertical="center"/>
      <protection locked="0"/>
    </xf>
    <xf numFmtId="0" fontId="2" fillId="0" borderId="49" xfId="0" applyFont="1" applyBorder="1" applyAlignment="1" applyProtection="1">
      <alignment horizontal="center" vertical="center"/>
      <protection locked="0"/>
    </xf>
    <xf numFmtId="0" fontId="2" fillId="0" borderId="45" xfId="0" applyFont="1" applyBorder="1" applyAlignment="1" applyProtection="1">
      <alignment horizontal="center" vertical="center"/>
      <protection locked="0"/>
    </xf>
    <xf numFmtId="0" fontId="3" fillId="20" borderId="10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20" borderId="30" xfId="0" applyFont="1" applyFill="1" applyBorder="1" applyAlignment="1">
      <alignment horizontal="center" vertical="center"/>
    </xf>
    <xf numFmtId="0" fontId="2" fillId="21" borderId="47" xfId="0" applyFont="1" applyFill="1" applyBorder="1" applyAlignment="1" applyProtection="1">
      <alignment horizontal="center" vertical="center"/>
    </xf>
    <xf numFmtId="0" fontId="2" fillId="21" borderId="49" xfId="0" applyFont="1" applyFill="1" applyBorder="1" applyAlignment="1" applyProtection="1">
      <alignment horizontal="center" vertical="center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3" fillId="9" borderId="44" xfId="0" applyFont="1" applyFill="1" applyBorder="1" applyAlignment="1" applyProtection="1">
      <alignment horizontal="center" vertical="center"/>
      <protection locked="0"/>
    </xf>
    <xf numFmtId="0" fontId="2" fillId="9" borderId="44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14" xfId="0" applyFont="1" applyFill="1" applyBorder="1" applyAlignment="1" applyProtection="1">
      <alignment horizontal="center" vertical="center"/>
      <protection locked="0"/>
    </xf>
    <xf numFmtId="0" fontId="3" fillId="15" borderId="5" xfId="0" applyFont="1" applyFill="1" applyBorder="1" applyAlignment="1" applyProtection="1">
      <alignment horizontal="center" vertical="center"/>
      <protection locked="0"/>
    </xf>
    <xf numFmtId="0" fontId="3" fillId="15" borderId="1" xfId="0" applyFont="1" applyFill="1" applyBorder="1" applyAlignment="1" applyProtection="1">
      <alignment horizontal="center" vertical="center"/>
      <protection locked="0"/>
    </xf>
    <xf numFmtId="0" fontId="3" fillId="15" borderId="47" xfId="0" applyFont="1" applyFill="1" applyBorder="1" applyAlignment="1" applyProtection="1">
      <alignment horizontal="center" vertical="center"/>
      <protection locked="0"/>
    </xf>
    <xf numFmtId="0" fontId="3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5" borderId="7" xfId="0" applyFont="1" applyFill="1" applyBorder="1" applyAlignment="1" applyProtection="1">
      <alignment horizontal="center" vertical="center"/>
      <protection locked="0"/>
    </xf>
    <xf numFmtId="0" fontId="2" fillId="15" borderId="15" xfId="0" applyFont="1" applyFill="1" applyBorder="1" applyAlignment="1" applyProtection="1">
      <alignment horizontal="center" vertical="center"/>
      <protection locked="0"/>
    </xf>
    <xf numFmtId="0" fontId="2" fillId="8" borderId="3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20" fontId="2" fillId="0" borderId="6" xfId="0" applyNumberFormat="1" applyFont="1" applyFill="1" applyBorder="1" applyAlignment="1" applyProtection="1">
      <alignment horizontal="center" vertical="center"/>
    </xf>
    <xf numFmtId="14" fontId="2" fillId="0" borderId="6" xfId="0" applyNumberFormat="1" applyFont="1" applyFill="1" applyBorder="1" applyAlignment="1" applyProtection="1">
      <alignment horizontal="left" vertical="center"/>
      <protection locked="0"/>
    </xf>
    <xf numFmtId="20" fontId="2" fillId="0" borderId="42" xfId="0" applyNumberFormat="1" applyFont="1" applyBorder="1" applyAlignment="1" applyProtection="1">
      <alignment horizontal="center" vertical="center"/>
      <protection locked="0"/>
    </xf>
    <xf numFmtId="20" fontId="2" fillId="0" borderId="6" xfId="0" quotePrefix="1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7" fillId="0" borderId="0" xfId="3" applyFont="1" applyBorder="1" applyAlignment="1">
      <alignment horizontal="center" vertical="center"/>
    </xf>
    <xf numFmtId="164" fontId="19" fillId="0" borderId="0" xfId="3" applyNumberFormat="1" applyFont="1" applyBorder="1" applyAlignment="1" applyProtection="1">
      <alignment vertical="center"/>
      <protection locked="0"/>
    </xf>
    <xf numFmtId="0" fontId="19" fillId="0" borderId="0" xfId="3" applyFont="1" applyBorder="1" applyAlignment="1" applyProtection="1">
      <alignment vertical="center"/>
      <protection locked="0"/>
    </xf>
    <xf numFmtId="0" fontId="29" fillId="0" borderId="74" xfId="0" applyFont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15" fillId="0" borderId="0" xfId="0" applyFont="1" applyFill="1" applyAlignment="1"/>
    <xf numFmtId="0" fontId="36" fillId="0" borderId="0" xfId="0" applyFont="1"/>
    <xf numFmtId="0" fontId="37" fillId="0" borderId="0" xfId="3" applyFont="1" applyBorder="1" applyAlignment="1" applyProtection="1">
      <alignment vertical="center"/>
    </xf>
    <xf numFmtId="0" fontId="23" fillId="0" borderId="0" xfId="3" applyFont="1" applyBorder="1" applyAlignment="1" applyProtection="1">
      <alignment horizontal="left" vertical="center"/>
    </xf>
    <xf numFmtId="0" fontId="38" fillId="0" borderId="0" xfId="3" applyFont="1" applyBorder="1" applyAlignment="1" applyProtection="1">
      <alignment horizontal="left" vertical="center"/>
    </xf>
    <xf numFmtId="0" fontId="15" fillId="0" borderId="0" xfId="0" applyFont="1" applyAlignment="1">
      <alignment horizontal="left"/>
    </xf>
    <xf numFmtId="0" fontId="40" fillId="0" borderId="0" xfId="0" applyFont="1" applyAlignment="1">
      <alignment vertical="center"/>
    </xf>
    <xf numFmtId="0" fontId="40" fillId="0" borderId="0" xfId="0" applyFont="1" applyAlignment="1">
      <alignment vertical="center" wrapText="1"/>
    </xf>
    <xf numFmtId="0" fontId="42" fillId="0" borderId="0" xfId="0" applyFont="1" applyBorder="1" applyAlignment="1">
      <alignment vertical="top"/>
    </xf>
    <xf numFmtId="0" fontId="19" fillId="0" borderId="0" xfId="0" applyFont="1" applyAlignment="1">
      <alignment horizontal="left" vertical="center"/>
    </xf>
    <xf numFmtId="0" fontId="23" fillId="0" borderId="1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41" fillId="0" borderId="0" xfId="0" applyFont="1" applyBorder="1" applyAlignment="1" applyProtection="1">
      <alignment vertical="center"/>
      <protection locked="0"/>
    </xf>
    <xf numFmtId="0" fontId="42" fillId="0" borderId="0" xfId="0" applyFont="1" applyBorder="1" applyAlignment="1" applyProtection="1">
      <alignment vertical="top"/>
      <protection locked="0"/>
    </xf>
    <xf numFmtId="0" fontId="39" fillId="0" borderId="0" xfId="0" applyFont="1" applyAlignment="1">
      <alignment vertical="center"/>
    </xf>
    <xf numFmtId="0" fontId="34" fillId="0" borderId="0" xfId="0" applyFont="1" applyAlignment="1">
      <alignment horizontal="left" vertical="top"/>
    </xf>
    <xf numFmtId="18" fontId="2" fillId="0" borderId="11" xfId="0" applyNumberFormat="1" applyFont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9" fillId="16" borderId="19" xfId="0" applyFont="1" applyFill="1" applyBorder="1" applyAlignment="1">
      <alignment horizontal="center" vertical="center"/>
    </xf>
    <xf numFmtId="0" fontId="9" fillId="16" borderId="16" xfId="0" applyFont="1" applyFill="1" applyBorder="1" applyAlignment="1">
      <alignment horizontal="center" vertical="center"/>
    </xf>
    <xf numFmtId="0" fontId="9" fillId="16" borderId="23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59" xfId="0" applyFont="1" applyFill="1" applyBorder="1" applyAlignment="1" applyProtection="1">
      <alignment horizontal="center" vertical="center"/>
      <protection locked="0"/>
    </xf>
    <xf numFmtId="0" fontId="3" fillId="0" borderId="35" xfId="0" applyFont="1" applyFill="1" applyBorder="1" applyAlignment="1" applyProtection="1">
      <alignment horizontal="center" vertical="center"/>
      <protection locked="0"/>
    </xf>
    <xf numFmtId="0" fontId="3" fillId="4" borderId="20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 wrapText="1"/>
    </xf>
    <xf numFmtId="0" fontId="3" fillId="15" borderId="16" xfId="0" applyFont="1" applyFill="1" applyBorder="1" applyAlignment="1">
      <alignment horizontal="center" vertical="center" wrapText="1"/>
    </xf>
    <xf numFmtId="0" fontId="3" fillId="15" borderId="23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5" borderId="40" xfId="0" applyFont="1" applyFill="1" applyBorder="1" applyAlignment="1">
      <alignment horizontal="center" vertical="center" wrapText="1"/>
    </xf>
    <xf numFmtId="0" fontId="3" fillId="15" borderId="39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left" vertical="top" wrapText="1"/>
      <protection locked="0"/>
    </xf>
    <xf numFmtId="0" fontId="2" fillId="0" borderId="16" xfId="0" applyFont="1" applyFill="1" applyBorder="1" applyAlignment="1" applyProtection="1">
      <alignment horizontal="left" vertical="top" wrapText="1"/>
      <protection locked="0"/>
    </xf>
    <xf numFmtId="0" fontId="2" fillId="0" borderId="23" xfId="0" applyFont="1" applyFill="1" applyBorder="1" applyAlignment="1" applyProtection="1">
      <alignment horizontal="left" vertical="top" wrapText="1"/>
      <protection locked="0"/>
    </xf>
    <xf numFmtId="0" fontId="2" fillId="0" borderId="27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29" xfId="0" applyFont="1" applyFill="1" applyBorder="1" applyAlignment="1" applyProtection="1">
      <alignment horizontal="left" vertical="top" wrapText="1"/>
      <protection locked="0"/>
    </xf>
    <xf numFmtId="0" fontId="2" fillId="0" borderId="38" xfId="0" applyFont="1" applyFill="1" applyBorder="1" applyAlignment="1" applyProtection="1">
      <alignment horizontal="left" vertical="top" wrapText="1"/>
      <protection locked="0"/>
    </xf>
    <xf numFmtId="0" fontId="2" fillId="0" borderId="40" xfId="0" applyFont="1" applyFill="1" applyBorder="1" applyAlignment="1" applyProtection="1">
      <alignment horizontal="left" vertical="top" wrapText="1"/>
      <protection locked="0"/>
    </xf>
    <xf numFmtId="0" fontId="2" fillId="0" borderId="39" xfId="0" applyFont="1" applyFill="1" applyBorder="1" applyAlignment="1" applyProtection="1">
      <alignment horizontal="left" vertical="top" wrapText="1"/>
      <protection locked="0"/>
    </xf>
    <xf numFmtId="0" fontId="3" fillId="8" borderId="20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28" fillId="0" borderId="18" xfId="0" applyFont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 vertical="center"/>
      <protection locked="0"/>
    </xf>
    <xf numFmtId="0" fontId="0" fillId="0" borderId="17" xfId="0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0" borderId="57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28" xfId="0" applyFont="1" applyFill="1" applyBorder="1" applyAlignment="1" applyProtection="1">
      <alignment horizontal="center"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0" fillId="0" borderId="18" xfId="0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14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14" borderId="19" xfId="0" applyFont="1" applyFill="1" applyBorder="1" applyAlignment="1">
      <alignment horizontal="left" vertical="center"/>
    </xf>
    <xf numFmtId="0" fontId="0" fillId="14" borderId="23" xfId="0" applyFill="1" applyBorder="1" applyAlignment="1">
      <alignment horizontal="left" vertical="center"/>
    </xf>
    <xf numFmtId="0" fontId="0" fillId="14" borderId="38" xfId="0" applyFill="1" applyBorder="1" applyAlignment="1">
      <alignment horizontal="left" vertical="center"/>
    </xf>
    <xf numFmtId="0" fontId="0" fillId="14" borderId="39" xfId="0" applyFill="1" applyBorder="1" applyAlignment="1">
      <alignment horizontal="left" vertical="center"/>
    </xf>
    <xf numFmtId="0" fontId="9" fillId="0" borderId="19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2" fillId="6" borderId="19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  <xf numFmtId="20" fontId="10" fillId="0" borderId="18" xfId="0" applyNumberFormat="1" applyFont="1" applyBorder="1" applyAlignment="1" applyProtection="1">
      <alignment horizontal="center" vertical="center"/>
      <protection locked="0"/>
    </xf>
    <xf numFmtId="0" fontId="9" fillId="14" borderId="23" xfId="0" applyFont="1" applyFill="1" applyBorder="1" applyAlignment="1">
      <alignment horizontal="left" vertical="center"/>
    </xf>
    <xf numFmtId="0" fontId="3" fillId="14" borderId="38" xfId="0" applyFont="1" applyFill="1" applyBorder="1" applyAlignment="1">
      <alignment horizontal="left" vertical="center"/>
    </xf>
    <xf numFmtId="0" fontId="9" fillId="14" borderId="39" xfId="0" applyFont="1" applyFill="1" applyBorder="1" applyAlignment="1">
      <alignment horizontal="left" vertical="center"/>
    </xf>
    <xf numFmtId="0" fontId="3" fillId="0" borderId="19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38" xfId="0" applyFont="1" applyBorder="1" applyAlignment="1" applyProtection="1">
      <alignment horizontal="center" vertical="center"/>
      <protection locked="0"/>
    </xf>
    <xf numFmtId="0" fontId="9" fillId="0" borderId="39" xfId="0" applyFont="1" applyBorder="1" applyAlignment="1" applyProtection="1">
      <alignment horizontal="center" vertical="center"/>
      <protection locked="0"/>
    </xf>
    <xf numFmtId="0" fontId="3" fillId="14" borderId="18" xfId="0" applyFont="1" applyFill="1" applyBorder="1" applyAlignment="1">
      <alignment horizontal="left" vertical="center"/>
    </xf>
    <xf numFmtId="0" fontId="3" fillId="14" borderId="8" xfId="0" applyFont="1" applyFill="1" applyBorder="1" applyAlignment="1">
      <alignment horizontal="left" vertical="center"/>
    </xf>
    <xf numFmtId="0" fontId="10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16" borderId="19" xfId="0" applyFont="1" applyFill="1" applyBorder="1" applyAlignment="1">
      <alignment horizontal="center" vertical="center"/>
    </xf>
    <xf numFmtId="0" fontId="17" fillId="0" borderId="10" xfId="0" applyFont="1" applyBorder="1" applyAlignment="1" applyProtection="1">
      <alignment horizontal="left" vertical="center"/>
    </xf>
    <xf numFmtId="0" fontId="17" fillId="0" borderId="30" xfId="0" applyFont="1" applyBorder="1" applyAlignment="1" applyProtection="1">
      <alignment horizontal="left" vertical="center"/>
    </xf>
    <xf numFmtId="0" fontId="17" fillId="0" borderId="27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left" vertical="center"/>
    </xf>
    <xf numFmtId="164" fontId="18" fillId="0" borderId="20" xfId="0" applyNumberFormat="1" applyFont="1" applyBorder="1" applyAlignment="1" applyProtection="1">
      <alignment horizontal="center" vertical="center"/>
    </xf>
    <xf numFmtId="164" fontId="18" fillId="0" borderId="50" xfId="0" applyNumberFormat="1" applyFont="1" applyBorder="1" applyAlignment="1" applyProtection="1">
      <alignment horizontal="center" vertical="center"/>
    </xf>
    <xf numFmtId="0" fontId="17" fillId="25" borderId="19" xfId="0" applyFont="1" applyFill="1" applyBorder="1" applyAlignment="1" applyProtection="1">
      <alignment horizontal="center"/>
    </xf>
    <xf numFmtId="0" fontId="17" fillId="25" borderId="16" xfId="0" applyFont="1" applyFill="1" applyBorder="1" applyAlignment="1" applyProtection="1">
      <alignment horizontal="center"/>
    </xf>
    <xf numFmtId="0" fontId="17" fillId="25" borderId="23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 vertical="center"/>
      <protection locked="0"/>
    </xf>
    <xf numFmtId="0" fontId="19" fillId="0" borderId="21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7" fillId="23" borderId="28" xfId="0" applyFont="1" applyFill="1" applyBorder="1" applyAlignment="1" applyProtection="1">
      <alignment horizontal="left" vertical="center"/>
    </xf>
    <xf numFmtId="0" fontId="17" fillId="23" borderId="2" xfId="0" applyFont="1" applyFill="1" applyBorder="1" applyAlignment="1" applyProtection="1">
      <alignment horizontal="left" vertical="center"/>
    </xf>
    <xf numFmtId="0" fontId="17" fillId="23" borderId="22" xfId="0" applyFont="1" applyFill="1" applyBorder="1" applyAlignment="1" applyProtection="1">
      <alignment horizontal="left" vertical="center"/>
    </xf>
    <xf numFmtId="0" fontId="17" fillId="22" borderId="28" xfId="0" applyFont="1" applyFill="1" applyBorder="1" applyAlignment="1" applyProtection="1">
      <alignment horizontal="left" vertical="center"/>
    </xf>
    <xf numFmtId="0" fontId="17" fillId="22" borderId="2" xfId="0" applyFont="1" applyFill="1" applyBorder="1" applyAlignment="1" applyProtection="1">
      <alignment horizontal="left" vertical="center"/>
    </xf>
    <xf numFmtId="0" fontId="17" fillId="22" borderId="22" xfId="0" applyFont="1" applyFill="1" applyBorder="1" applyAlignment="1" applyProtection="1">
      <alignment horizontal="left" vertical="center"/>
    </xf>
    <xf numFmtId="164" fontId="19" fillId="0" borderId="20" xfId="0" applyNumberFormat="1" applyFont="1" applyBorder="1" applyAlignment="1" applyProtection="1">
      <alignment horizontal="center" vertical="center"/>
      <protection locked="0"/>
    </xf>
    <xf numFmtId="164" fontId="19" fillId="0" borderId="17" xfId="0" applyNumberFormat="1" applyFont="1" applyBorder="1" applyAlignment="1" applyProtection="1">
      <alignment horizontal="center" vertical="center"/>
      <protection locked="0"/>
    </xf>
    <xf numFmtId="0" fontId="17" fillId="4" borderId="20" xfId="0" applyFont="1" applyFill="1" applyBorder="1" applyAlignment="1" applyProtection="1">
      <alignment horizontal="center"/>
    </xf>
    <xf numFmtId="0" fontId="17" fillId="4" borderId="21" xfId="0" applyFont="1" applyFill="1" applyBorder="1" applyAlignment="1" applyProtection="1">
      <alignment horizontal="center"/>
    </xf>
    <xf numFmtId="0" fontId="17" fillId="4" borderId="17" xfId="0" applyFont="1" applyFill="1" applyBorder="1" applyAlignment="1" applyProtection="1">
      <alignment horizontal="center"/>
    </xf>
    <xf numFmtId="0" fontId="17" fillId="24" borderId="20" xfId="0" applyFont="1" applyFill="1" applyBorder="1" applyAlignment="1" applyProtection="1">
      <alignment horizontal="center" vertical="center"/>
    </xf>
    <xf numFmtId="0" fontId="17" fillId="24" borderId="21" xfId="0" applyFont="1" applyFill="1" applyBorder="1" applyAlignment="1" applyProtection="1">
      <alignment horizontal="center" vertical="center"/>
    </xf>
    <xf numFmtId="0" fontId="17" fillId="24" borderId="17" xfId="0" applyFont="1" applyFill="1" applyBorder="1" applyAlignment="1" applyProtection="1">
      <alignment horizontal="center" vertical="center"/>
    </xf>
    <xf numFmtId="0" fontId="17" fillId="0" borderId="27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38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16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23" fillId="0" borderId="20" xfId="0" applyFont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>
      <alignment horizontal="center" vertical="center"/>
      <protection locked="0"/>
    </xf>
    <xf numFmtId="0" fontId="23" fillId="0" borderId="17" xfId="0" applyFont="1" applyBorder="1" applyAlignment="1" applyProtection="1">
      <alignment horizontal="center" vertical="center"/>
      <protection locked="0"/>
    </xf>
    <xf numFmtId="0" fontId="17" fillId="0" borderId="29" xfId="0" applyFont="1" applyBorder="1" applyAlignment="1" applyProtection="1">
      <alignment horizontal="left" vertical="center"/>
    </xf>
    <xf numFmtId="0" fontId="20" fillId="0" borderId="12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>
      <alignment horizontal="left" vertical="center"/>
    </xf>
    <xf numFmtId="0" fontId="17" fillId="0" borderId="48" xfId="0" applyFont="1" applyBorder="1" applyAlignment="1">
      <alignment horizontal="left" vertical="center"/>
    </xf>
    <xf numFmtId="0" fontId="17" fillId="0" borderId="12" xfId="0" applyFont="1" applyBorder="1" applyAlignment="1" applyProtection="1">
      <alignment horizontal="left" vertical="center"/>
    </xf>
    <xf numFmtId="0" fontId="17" fillId="0" borderId="1" xfId="0" applyFont="1" applyBorder="1" applyAlignment="1" applyProtection="1">
      <alignment horizontal="left" vertical="center"/>
    </xf>
    <xf numFmtId="0" fontId="17" fillId="0" borderId="28" xfId="0" applyFont="1" applyBorder="1" applyAlignment="1" applyProtection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7" fillId="0" borderId="28" xfId="0" applyFont="1" applyBorder="1" applyAlignment="1">
      <alignment horizontal="left" vertical="center"/>
    </xf>
    <xf numFmtId="0" fontId="20" fillId="0" borderId="13" xfId="0" applyFont="1" applyBorder="1" applyAlignment="1" applyProtection="1">
      <alignment horizontal="center" vertical="center"/>
      <protection locked="0"/>
    </xf>
    <xf numFmtId="0" fontId="20" fillId="0" borderId="14" xfId="0" applyFont="1" applyBorder="1" applyAlignment="1" applyProtection="1">
      <alignment horizontal="center" vertical="center"/>
      <protection locked="0"/>
    </xf>
    <xf numFmtId="0" fontId="20" fillId="0" borderId="15" xfId="0" applyFont="1" applyBorder="1" applyAlignment="1" applyProtection="1">
      <alignment horizontal="center" vertical="center"/>
      <protection locked="0"/>
    </xf>
    <xf numFmtId="0" fontId="30" fillId="0" borderId="0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/>
    </xf>
    <xf numFmtId="0" fontId="3" fillId="12" borderId="61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3" fillId="12" borderId="27" xfId="0" applyFont="1" applyFill="1" applyBorder="1" applyAlignment="1">
      <alignment horizontal="center" vertical="center" wrapText="1"/>
    </xf>
    <xf numFmtId="0" fontId="3" fillId="12" borderId="60" xfId="0" applyFont="1" applyFill="1" applyBorder="1" applyAlignment="1">
      <alignment horizontal="center" vertical="center" wrapText="1"/>
    </xf>
    <xf numFmtId="0" fontId="3" fillId="12" borderId="55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3" fillId="12" borderId="58" xfId="0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 wrapText="1"/>
    </xf>
    <xf numFmtId="0" fontId="3" fillId="12" borderId="44" xfId="0" applyFont="1" applyFill="1" applyBorder="1" applyAlignment="1">
      <alignment horizontal="center" vertical="center" wrapText="1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38" xfId="0" applyFont="1" applyBorder="1" applyAlignment="1" applyProtection="1">
      <alignment horizontal="center" vertical="center"/>
      <protection locked="0"/>
    </xf>
    <xf numFmtId="0" fontId="10" fillId="0" borderId="51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32" fillId="0" borderId="0" xfId="0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9" fillId="0" borderId="57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9" fillId="0" borderId="59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3" fillId="19" borderId="20" xfId="0" applyFont="1" applyFill="1" applyBorder="1" applyAlignment="1">
      <alignment horizontal="center" vertical="center"/>
    </xf>
    <xf numFmtId="0" fontId="3" fillId="19" borderId="21" xfId="0" applyFont="1" applyFill="1" applyBorder="1" applyAlignment="1">
      <alignment horizontal="center" vertical="center"/>
    </xf>
    <xf numFmtId="0" fontId="3" fillId="19" borderId="17" xfId="0" applyFont="1" applyFill="1" applyBorder="1" applyAlignment="1">
      <alignment horizontal="center" vertical="center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51" xfId="0" applyFont="1" applyBorder="1" applyAlignment="1" applyProtection="1">
      <alignment horizontal="center" vertical="center"/>
      <protection locked="0"/>
    </xf>
    <xf numFmtId="0" fontId="3" fillId="26" borderId="20" xfId="0" applyFont="1" applyFill="1" applyBorder="1" applyAlignment="1">
      <alignment horizontal="center" vertical="center"/>
    </xf>
    <xf numFmtId="0" fontId="3" fillId="26" borderId="21" xfId="0" applyFont="1" applyFill="1" applyBorder="1" applyAlignment="1">
      <alignment horizontal="center" vertical="center"/>
    </xf>
    <xf numFmtId="0" fontId="3" fillId="26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27" borderId="4" xfId="0" applyFont="1" applyFill="1" applyBorder="1" applyAlignment="1">
      <alignment horizontal="center" vertical="center" wrapText="1"/>
    </xf>
    <xf numFmtId="0" fontId="3" fillId="27" borderId="13" xfId="0" applyFont="1" applyFill="1" applyBorder="1" applyAlignment="1">
      <alignment horizontal="center" vertical="center" wrapText="1"/>
    </xf>
    <xf numFmtId="0" fontId="3" fillId="27" borderId="3" xfId="0" applyFont="1" applyFill="1" applyBorder="1" applyAlignment="1">
      <alignment horizontal="center" vertical="center" wrapText="1"/>
    </xf>
    <xf numFmtId="0" fontId="3" fillId="27" borderId="15" xfId="0" applyFont="1" applyFill="1" applyBorder="1" applyAlignment="1">
      <alignment horizontal="center" vertical="center" wrapText="1"/>
    </xf>
    <xf numFmtId="0" fontId="2" fillId="13" borderId="19" xfId="0" applyFont="1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3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0" borderId="18" xfId="0" applyNumberFormat="1" applyFont="1" applyBorder="1" applyAlignment="1" applyProtection="1">
      <alignment horizontal="center" vertical="center" wrapText="1"/>
      <protection locked="0"/>
    </xf>
    <xf numFmtId="0" fontId="3" fillId="0" borderId="24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20" fontId="3" fillId="0" borderId="18" xfId="0" applyNumberFormat="1" applyFont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20" fontId="2" fillId="0" borderId="20" xfId="0" applyNumberFormat="1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2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4" borderId="21" xfId="0" applyFill="1" applyBorder="1" applyAlignment="1"/>
    <xf numFmtId="0" fontId="0" fillId="4" borderId="17" xfId="0" applyFill="1" applyBorder="1" applyAlignment="1"/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3" fillId="19" borderId="19" xfId="0" applyFont="1" applyFill="1" applyBorder="1" applyAlignment="1">
      <alignment horizontal="center" vertical="center"/>
    </xf>
    <xf numFmtId="0" fontId="3" fillId="19" borderId="16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horizontal="center" vertical="center"/>
    </xf>
    <xf numFmtId="0" fontId="24" fillId="0" borderId="4" xfId="0" applyFont="1" applyFill="1" applyBorder="1" applyAlignment="1" applyProtection="1">
      <alignment horizontal="center" vertical="center"/>
      <protection locked="0"/>
    </xf>
    <xf numFmtId="0" fontId="24" fillId="0" borderId="5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center" vertical="center"/>
      <protection locked="0"/>
    </xf>
    <xf numFmtId="0" fontId="24" fillId="0" borderId="14" xfId="0" applyFont="1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/>
      <protection locked="0"/>
    </xf>
    <xf numFmtId="0" fontId="24" fillId="0" borderId="14" xfId="0" applyFont="1" applyBorder="1" applyAlignment="1" applyProtection="1">
      <alignment horizontal="center" vertical="center"/>
      <protection locked="0"/>
    </xf>
    <xf numFmtId="0" fontId="24" fillId="0" borderId="3" xfId="0" applyFont="1" applyBorder="1" applyAlignment="1" applyProtection="1">
      <alignment horizontal="center" vertical="center"/>
      <protection locked="0"/>
    </xf>
    <xf numFmtId="0" fontId="24" fillId="0" borderId="15" xfId="0" applyFont="1" applyBorder="1" applyAlignment="1" applyProtection="1">
      <alignment horizontal="center" vertical="center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4" fillId="0" borderId="53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5" fillId="0" borderId="4" xfId="1" applyFont="1" applyFill="1" applyBorder="1" applyAlignment="1">
      <alignment horizontal="center" vertical="center" wrapText="1"/>
    </xf>
    <xf numFmtId="0" fontId="15" fillId="0" borderId="5" xfId="1" applyFont="1" applyFill="1" applyBorder="1" applyAlignment="1">
      <alignment horizontal="center" vertical="center" wrapText="1"/>
    </xf>
    <xf numFmtId="0" fontId="15" fillId="0" borderId="3" xfId="1" applyFont="1" applyFill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64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5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25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  <xf numFmtId="0" fontId="21" fillId="0" borderId="66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40" fillId="0" borderId="4" xfId="0" applyFont="1" applyBorder="1" applyAlignment="1" applyProtection="1">
      <alignment horizontal="left" vertical="center"/>
      <protection locked="0"/>
    </xf>
    <xf numFmtId="0" fontId="40" fillId="0" borderId="5" xfId="0" applyFont="1" applyBorder="1" applyAlignment="1" applyProtection="1">
      <alignment horizontal="left" vertical="center"/>
      <protection locked="0"/>
    </xf>
    <xf numFmtId="0" fontId="40" fillId="0" borderId="57" xfId="0" applyFont="1" applyBorder="1" applyAlignment="1" applyProtection="1">
      <alignment horizontal="left" vertical="center"/>
      <protection locked="0"/>
    </xf>
    <xf numFmtId="0" fontId="40" fillId="0" borderId="3" xfId="0" applyFont="1" applyBorder="1" applyAlignment="1" applyProtection="1">
      <alignment horizontal="left" vertical="center"/>
      <protection locked="0"/>
    </xf>
    <xf numFmtId="0" fontId="40" fillId="0" borderId="12" xfId="0" applyFont="1" applyBorder="1" applyAlignment="1" applyProtection="1">
      <alignment horizontal="left" vertical="center"/>
      <protection locked="0"/>
    </xf>
    <xf numFmtId="0" fontId="40" fillId="0" borderId="1" xfId="0" applyFont="1" applyBorder="1" applyAlignment="1" applyProtection="1">
      <alignment horizontal="left" vertical="center"/>
      <protection locked="0"/>
    </xf>
    <xf numFmtId="0" fontId="40" fillId="0" borderId="28" xfId="0" applyFont="1" applyBorder="1" applyAlignment="1" applyProtection="1">
      <alignment horizontal="left" vertical="center"/>
      <protection locked="0"/>
    </xf>
    <xf numFmtId="0" fontId="40" fillId="0" borderId="7" xfId="0" applyFont="1" applyBorder="1" applyAlignment="1" applyProtection="1">
      <alignment horizontal="left" vertical="center"/>
      <protection locked="0"/>
    </xf>
    <xf numFmtId="0" fontId="40" fillId="0" borderId="13" xfId="0" applyFont="1" applyBorder="1" applyAlignment="1" applyProtection="1">
      <alignment horizontal="left" vertical="center"/>
      <protection locked="0"/>
    </xf>
    <xf numFmtId="0" fontId="40" fillId="0" borderId="14" xfId="0" applyFont="1" applyBorder="1" applyAlignment="1" applyProtection="1">
      <alignment horizontal="left" vertical="center"/>
      <protection locked="0"/>
    </xf>
    <xf numFmtId="0" fontId="40" fillId="0" borderId="59" xfId="0" applyFont="1" applyBorder="1" applyAlignment="1" applyProtection="1">
      <alignment horizontal="left" vertical="center"/>
      <protection locked="0"/>
    </xf>
    <xf numFmtId="0" fontId="40" fillId="0" borderId="15" xfId="0" applyFont="1" applyBorder="1" applyAlignment="1" applyProtection="1">
      <alignment horizontal="left" vertical="center"/>
      <protection locked="0"/>
    </xf>
    <xf numFmtId="0" fontId="3" fillId="9" borderId="18" xfId="0" applyFont="1" applyFill="1" applyBorder="1" applyAlignment="1">
      <alignment horizontal="center" vertical="center" wrapText="1"/>
    </xf>
    <xf numFmtId="0" fontId="3" fillId="9" borderId="73" xfId="0" applyFont="1" applyFill="1" applyBorder="1" applyAlignment="1">
      <alignment horizontal="center" vertical="center" wrapText="1"/>
    </xf>
    <xf numFmtId="0" fontId="29" fillId="26" borderId="70" xfId="0" applyFont="1" applyFill="1" applyBorder="1" applyAlignment="1">
      <alignment horizontal="center" vertical="center"/>
    </xf>
    <xf numFmtId="0" fontId="29" fillId="26" borderId="72" xfId="0" applyFont="1" applyFill="1" applyBorder="1" applyAlignment="1">
      <alignment horizontal="center" vertical="center"/>
    </xf>
    <xf numFmtId="0" fontId="29" fillId="26" borderId="71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44" fillId="0" borderId="13" xfId="0" applyFont="1" applyBorder="1" applyAlignment="1">
      <alignment horizontal="center" vertical="center"/>
    </xf>
    <xf numFmtId="0" fontId="44" fillId="0" borderId="14" xfId="0" applyFont="1" applyBorder="1" applyAlignment="1">
      <alignment horizontal="center" vertical="center"/>
    </xf>
    <xf numFmtId="0" fontId="45" fillId="0" borderId="0" xfId="0" applyFont="1" applyAlignment="1">
      <alignment horizontal="center" vertical="top"/>
    </xf>
    <xf numFmtId="0" fontId="43" fillId="0" borderId="4" xfId="0" applyFont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4" fillId="0" borderId="43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49" fontId="38" fillId="0" borderId="0" xfId="0" applyNumberFormat="1" applyFont="1" applyAlignment="1">
      <alignment horizontal="left"/>
    </xf>
    <xf numFmtId="164" fontId="19" fillId="0" borderId="0" xfId="3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left" vertical="top"/>
    </xf>
    <xf numFmtId="0" fontId="39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15" fillId="29" borderId="19" xfId="0" applyFont="1" applyFill="1" applyBorder="1" applyAlignment="1">
      <alignment horizontal="center"/>
    </xf>
    <xf numFmtId="0" fontId="15" fillId="29" borderId="16" xfId="0" applyFont="1" applyFill="1" applyBorder="1" applyAlignment="1">
      <alignment horizontal="center"/>
    </xf>
    <xf numFmtId="0" fontId="15" fillId="29" borderId="23" xfId="0" applyFont="1" applyFill="1" applyBorder="1" applyAlignment="1">
      <alignment horizontal="center"/>
    </xf>
    <xf numFmtId="0" fontId="15" fillId="29" borderId="38" xfId="0" applyFont="1" applyFill="1" applyBorder="1" applyAlignment="1">
      <alignment horizontal="center"/>
    </xf>
    <xf numFmtId="0" fontId="15" fillId="29" borderId="40" xfId="0" applyFont="1" applyFill="1" applyBorder="1" applyAlignment="1">
      <alignment horizontal="center"/>
    </xf>
    <xf numFmtId="0" fontId="15" fillId="29" borderId="39" xfId="0" applyFont="1" applyFill="1" applyBorder="1" applyAlignment="1">
      <alignment horizontal="center"/>
    </xf>
    <xf numFmtId="0" fontId="15" fillId="30" borderId="19" xfId="0" applyFont="1" applyFill="1" applyBorder="1" applyAlignment="1">
      <alignment horizontal="center"/>
    </xf>
    <xf numFmtId="0" fontId="15" fillId="30" borderId="16" xfId="0" applyFont="1" applyFill="1" applyBorder="1" applyAlignment="1">
      <alignment horizontal="center"/>
    </xf>
    <xf numFmtId="0" fontId="15" fillId="30" borderId="23" xfId="0" applyFont="1" applyFill="1" applyBorder="1" applyAlignment="1">
      <alignment horizontal="center"/>
    </xf>
    <xf numFmtId="0" fontId="15" fillId="30" borderId="38" xfId="0" applyFont="1" applyFill="1" applyBorder="1" applyAlignment="1">
      <alignment horizontal="center"/>
    </xf>
    <xf numFmtId="0" fontId="15" fillId="30" borderId="40" xfId="0" applyFont="1" applyFill="1" applyBorder="1" applyAlignment="1">
      <alignment horizontal="center"/>
    </xf>
    <xf numFmtId="0" fontId="15" fillId="30" borderId="39" xfId="0" applyFont="1" applyFill="1" applyBorder="1" applyAlignment="1">
      <alignment horizontal="center"/>
    </xf>
    <xf numFmtId="0" fontId="19" fillId="0" borderId="0" xfId="0" applyFont="1" applyAlignment="1">
      <alignment horizontal="left" vertical="center"/>
    </xf>
  </cellXfs>
  <cellStyles count="4">
    <cellStyle name="Check Cell" xfId="1" builtinId="23"/>
    <cellStyle name="Normal" xfId="0" builtinId="0"/>
    <cellStyle name="Normal 2" xfId="2" xr:uid="{00000000-0005-0000-0000-000002000000}"/>
    <cellStyle name="Normal 3" xfId="3" xr:uid="{00000000-0005-0000-0000-000003000000}"/>
  </cellStyles>
  <dxfs count="154"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8DB4E3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7D47E316-2D0C-4007-B740-40FF5D869452}" type="presOf" srcId="{3D76B524-8A76-40C1-B814-E94C8DB75581}" destId="{CCF3D23A-09EE-4067-A641-DD59D0533FC8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DED23B3B-66D2-4423-84FB-0C2E91DC36BE}" type="presOf" srcId="{3346F7C9-2BEC-483F-AA76-59D108DC6B49}" destId="{B37849E0-CEA8-488F-91B6-DCD6996B663B}" srcOrd="0" destOrd="0" presId="urn:microsoft.com/office/officeart/2005/8/layout/gear1"/>
    <dgm:cxn modelId="{CFD50868-93FF-4282-B151-92454E5D9FC3}" type="presOf" srcId="{1C68C4BB-E0CE-4BD4-A250-6BB1313C8102}" destId="{92C8D4F5-79A2-46B4-ACB2-76BAF8E81BD2}" srcOrd="0" destOrd="0" presId="urn:microsoft.com/office/officeart/2005/8/layout/gear1"/>
    <dgm:cxn modelId="{A7C5E349-AB95-4DAF-9B5F-C5C1AB62C150}" type="presOf" srcId="{3D76B524-8A76-40C1-B814-E94C8DB75581}" destId="{137BE4E3-5CDA-48F5-AF51-AD37FDB9CD12}" srcOrd="1" destOrd="0" presId="urn:microsoft.com/office/officeart/2005/8/layout/gear1"/>
    <dgm:cxn modelId="{8A1BB370-ACE7-44A4-8197-837FE3AB2060}" type="presOf" srcId="{1C68C4BB-E0CE-4BD4-A250-6BB1313C8102}" destId="{700D604D-9802-4F72-9388-062E057578B0}" srcOrd="1" destOrd="0" presId="urn:microsoft.com/office/officeart/2005/8/layout/gear1"/>
    <dgm:cxn modelId="{99950058-E707-4F27-BAEF-6386AE985C11}" type="presOf" srcId="{B1FE7251-DD78-43DC-9EFE-35E755B8C113}" destId="{A98D2C77-AB2E-4734-BD72-0AAFCDCB3B38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ED310D8B-0608-4809-B7DB-532369CC4276}" type="presOf" srcId="{20027F76-6EF2-4DD8-BE41-A475A2100245}" destId="{D2147CE7-55B5-4289-95EA-E48035A21E7A}" srcOrd="0" destOrd="0" presId="urn:microsoft.com/office/officeart/2005/8/layout/gear1"/>
    <dgm:cxn modelId="{07F1D68F-E627-48F4-8733-833AE3ADE05F}" type="presOf" srcId="{3D76B524-8A76-40C1-B814-E94C8DB75581}" destId="{044497E5-8C0A-41F1-B8EF-6EE2B96D3C1D}" srcOrd="2" destOrd="0" presId="urn:microsoft.com/office/officeart/2005/8/layout/gear1"/>
    <dgm:cxn modelId="{C4774EA7-261A-4FEE-BE50-D597004DAFE5}" type="presOf" srcId="{B1FE7251-DD78-43DC-9EFE-35E755B8C113}" destId="{3AF81862-CA10-46E9-B990-31ED7B1C337E}" srcOrd="3" destOrd="0" presId="urn:microsoft.com/office/officeart/2005/8/layout/gear1"/>
    <dgm:cxn modelId="{A67DB4AB-3EA8-4BD6-899C-02C48E156A6E}" type="presOf" srcId="{90BC29A1-EAB1-4B07-BFBE-43D30ADE786F}" destId="{F866955C-FDD6-4476-A602-38378FC1FF65}" srcOrd="0" destOrd="0" presId="urn:microsoft.com/office/officeart/2005/8/layout/gear1"/>
    <dgm:cxn modelId="{A73300AF-0630-41D5-BB2F-FA582DE31531}" type="presOf" srcId="{EFC6E8EB-5017-42DF-B53D-6BC9750F37C4}" destId="{47172D9C-3CDF-4F63-B3B0-178F68183869}" srcOrd="0" destOrd="0" presId="urn:microsoft.com/office/officeart/2005/8/layout/gear1"/>
    <dgm:cxn modelId="{50875CBF-DE66-4017-AF42-9FD0C260B92D}" type="presOf" srcId="{B1FE7251-DD78-43DC-9EFE-35E755B8C113}" destId="{B7A8C643-326B-470C-B29A-8CDB28E398D6}" srcOrd="2" destOrd="0" presId="urn:microsoft.com/office/officeart/2005/8/layout/gear1"/>
    <dgm:cxn modelId="{2248E7F5-E904-4243-9AC2-06CDFBEB4367}" type="presOf" srcId="{1C68C4BB-E0CE-4BD4-A250-6BB1313C8102}" destId="{6E4C15D3-C544-4998-AF52-23101F882761}" srcOrd="2" destOrd="0" presId="urn:microsoft.com/office/officeart/2005/8/layout/gear1"/>
    <dgm:cxn modelId="{56B3E3FF-054C-472D-9857-849918A9DEC3}" type="presOf" srcId="{B1FE7251-DD78-43DC-9EFE-35E755B8C113}" destId="{76545084-0B49-479C-835B-7413B848C4E7}" srcOrd="0" destOrd="0" presId="urn:microsoft.com/office/officeart/2005/8/layout/gear1"/>
    <dgm:cxn modelId="{27BBC77E-E79D-4F54-AA83-5256D7886DEC}" type="presParOf" srcId="{D2147CE7-55B5-4289-95EA-E48035A21E7A}" destId="{CCF3D23A-09EE-4067-A641-DD59D0533FC8}" srcOrd="0" destOrd="0" presId="urn:microsoft.com/office/officeart/2005/8/layout/gear1"/>
    <dgm:cxn modelId="{CA719D86-1A74-4251-98C5-2FB313764611}" type="presParOf" srcId="{D2147CE7-55B5-4289-95EA-E48035A21E7A}" destId="{137BE4E3-5CDA-48F5-AF51-AD37FDB9CD12}" srcOrd="1" destOrd="0" presId="urn:microsoft.com/office/officeart/2005/8/layout/gear1"/>
    <dgm:cxn modelId="{19A1E256-9B42-4287-9D36-1DA029800C25}" type="presParOf" srcId="{D2147CE7-55B5-4289-95EA-E48035A21E7A}" destId="{044497E5-8C0A-41F1-B8EF-6EE2B96D3C1D}" srcOrd="2" destOrd="0" presId="urn:microsoft.com/office/officeart/2005/8/layout/gear1"/>
    <dgm:cxn modelId="{BE37FA65-28E2-4772-A0A0-382B2B544EE9}" type="presParOf" srcId="{D2147CE7-55B5-4289-95EA-E48035A21E7A}" destId="{92C8D4F5-79A2-46B4-ACB2-76BAF8E81BD2}" srcOrd="3" destOrd="0" presId="urn:microsoft.com/office/officeart/2005/8/layout/gear1"/>
    <dgm:cxn modelId="{476C70ED-19D6-4D4B-B3C2-653B374EAEB9}" type="presParOf" srcId="{D2147CE7-55B5-4289-95EA-E48035A21E7A}" destId="{700D604D-9802-4F72-9388-062E057578B0}" srcOrd="4" destOrd="0" presId="urn:microsoft.com/office/officeart/2005/8/layout/gear1"/>
    <dgm:cxn modelId="{27544617-32AD-432E-8F8B-FEA838D1BDB5}" type="presParOf" srcId="{D2147CE7-55B5-4289-95EA-E48035A21E7A}" destId="{6E4C15D3-C544-4998-AF52-23101F882761}" srcOrd="5" destOrd="0" presId="urn:microsoft.com/office/officeart/2005/8/layout/gear1"/>
    <dgm:cxn modelId="{E2B2F23E-BEF1-4E7F-9AE5-03602D1F14C4}" type="presParOf" srcId="{D2147CE7-55B5-4289-95EA-E48035A21E7A}" destId="{76545084-0B49-479C-835B-7413B848C4E7}" srcOrd="6" destOrd="0" presId="urn:microsoft.com/office/officeart/2005/8/layout/gear1"/>
    <dgm:cxn modelId="{9E7E5A54-22E2-4F3E-8E55-C235B0124135}" type="presParOf" srcId="{D2147CE7-55B5-4289-95EA-E48035A21E7A}" destId="{A98D2C77-AB2E-4734-BD72-0AAFCDCB3B38}" srcOrd="7" destOrd="0" presId="urn:microsoft.com/office/officeart/2005/8/layout/gear1"/>
    <dgm:cxn modelId="{E1C200D2-D736-4ABE-B67B-74D3ABB585B0}" type="presParOf" srcId="{D2147CE7-55B5-4289-95EA-E48035A21E7A}" destId="{B7A8C643-326B-470C-B29A-8CDB28E398D6}" srcOrd="8" destOrd="0" presId="urn:microsoft.com/office/officeart/2005/8/layout/gear1"/>
    <dgm:cxn modelId="{31C07013-4798-4B5B-80D5-63BEBEA66828}" type="presParOf" srcId="{D2147CE7-55B5-4289-95EA-E48035A21E7A}" destId="{3AF81862-CA10-46E9-B990-31ED7B1C337E}" srcOrd="9" destOrd="0" presId="urn:microsoft.com/office/officeart/2005/8/layout/gear1"/>
    <dgm:cxn modelId="{F697F828-7563-44EE-986D-B942F83AB09C}" type="presParOf" srcId="{D2147CE7-55B5-4289-95EA-E48035A21E7A}" destId="{B37849E0-CEA8-488F-91B6-DCD6996B663B}" srcOrd="10" destOrd="0" presId="urn:microsoft.com/office/officeart/2005/8/layout/gear1"/>
    <dgm:cxn modelId="{5CF1D95C-533E-4AB7-BD82-C7D0BBD8146B}" type="presParOf" srcId="{D2147CE7-55B5-4289-95EA-E48035A21E7A}" destId="{F866955C-FDD6-4476-A602-38378FC1FF65}" srcOrd="11" destOrd="0" presId="urn:microsoft.com/office/officeart/2005/8/layout/gear1"/>
    <dgm:cxn modelId="{D8BADF2E-1440-4F06-8ED9-26F77276FF0E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5075CEC0-77A5-4989-8EFA-FB5086DE93D7}" type="doc">
      <dgm:prSet loTypeId="urn:microsoft.com/office/officeart/2005/8/layout/arrow5" loCatId="relationship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28C6889-394A-4427-8732-3EDA39A15B08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Discharged</a:t>
          </a:r>
        </a:p>
      </dgm:t>
    </dgm:pt>
    <dgm:pt modelId="{F5A08FAC-6FD1-4797-B4F2-6B1A8827131C}" type="sibTrans" cxnId="{220638FC-17EA-400E-BF32-CCDCE1F3AD2F}">
      <dgm:prSet/>
      <dgm:spPr/>
      <dgm:t>
        <a:bodyPr/>
        <a:lstStyle/>
        <a:p>
          <a:endParaRPr lang="en-GB"/>
        </a:p>
      </dgm:t>
    </dgm:pt>
    <dgm:pt modelId="{BB1FEF16-6821-44B4-8985-0D2C33D67B97}" type="parTrans" cxnId="{220638FC-17EA-400E-BF32-CCDCE1F3AD2F}">
      <dgm:prSet/>
      <dgm:spPr/>
      <dgm:t>
        <a:bodyPr/>
        <a:lstStyle/>
        <a:p>
          <a:endParaRPr lang="en-GB"/>
        </a:p>
      </dgm:t>
    </dgm:pt>
    <dgm:pt modelId="{B9386EF2-F489-4987-9402-40DF9BAD795A}">
      <dgm:prSet phldrT="[Text]"/>
      <dgm:spPr>
        <a:solidFill>
          <a:srgbClr val="FF0000"/>
        </a:solidFill>
      </dgm:spPr>
      <dgm:t>
        <a:bodyPr/>
        <a:lstStyle/>
        <a:p>
          <a:r>
            <a:rPr lang="en-GB"/>
            <a:t>Admitted</a:t>
          </a:r>
        </a:p>
      </dgm:t>
    </dgm:pt>
    <dgm:pt modelId="{F5A71248-033B-470C-9A9F-7D046B752B10}" type="sibTrans" cxnId="{E699380F-A39C-4FCE-827C-B5A3906CA78C}">
      <dgm:prSet/>
      <dgm:spPr/>
      <dgm:t>
        <a:bodyPr/>
        <a:lstStyle/>
        <a:p>
          <a:endParaRPr lang="en-GB"/>
        </a:p>
      </dgm:t>
    </dgm:pt>
    <dgm:pt modelId="{8E26C712-386F-4145-ACEC-A008D31C7497}" type="parTrans" cxnId="{E699380F-A39C-4FCE-827C-B5A3906CA78C}">
      <dgm:prSet/>
      <dgm:spPr/>
      <dgm:t>
        <a:bodyPr/>
        <a:lstStyle/>
        <a:p>
          <a:endParaRPr lang="en-GB"/>
        </a:p>
      </dgm:t>
    </dgm:pt>
    <dgm:pt modelId="{AECA877E-9E7E-42A8-916E-22185F918B62}" type="pres">
      <dgm:prSet presAssocID="{5075CEC0-77A5-4989-8EFA-FB5086DE93D7}" presName="diagram" presStyleCnt="0">
        <dgm:presLayoutVars>
          <dgm:dir/>
          <dgm:resizeHandles val="exact"/>
        </dgm:presLayoutVars>
      </dgm:prSet>
      <dgm:spPr/>
    </dgm:pt>
    <dgm:pt modelId="{A30A3B5E-3459-440B-AE90-FC9F149F3A5F}" type="pres">
      <dgm:prSet presAssocID="{B9386EF2-F489-4987-9402-40DF9BAD795A}" presName="arrow" presStyleLbl="node1" presStyleIdx="0" presStyleCnt="2">
        <dgm:presLayoutVars>
          <dgm:bulletEnabled val="1"/>
        </dgm:presLayoutVars>
      </dgm:prSet>
      <dgm:spPr/>
    </dgm:pt>
    <dgm:pt modelId="{B8834F15-D03F-4FDF-8801-CFECD5A38ED3}" type="pres">
      <dgm:prSet presAssocID="{628C6889-394A-4427-8732-3EDA39A15B08}" presName="arrow" presStyleLbl="node1" presStyleIdx="1" presStyleCnt="2">
        <dgm:presLayoutVars>
          <dgm:bulletEnabled val="1"/>
        </dgm:presLayoutVars>
      </dgm:prSet>
      <dgm:spPr/>
    </dgm:pt>
  </dgm:ptLst>
  <dgm:cxnLst>
    <dgm:cxn modelId="{E699380F-A39C-4FCE-827C-B5A3906CA78C}" srcId="{5075CEC0-77A5-4989-8EFA-FB5086DE93D7}" destId="{B9386EF2-F489-4987-9402-40DF9BAD795A}" srcOrd="0" destOrd="0" parTransId="{8E26C712-386F-4145-ACEC-A008D31C7497}" sibTransId="{F5A71248-033B-470C-9A9F-7D046B752B10}"/>
    <dgm:cxn modelId="{86B11B1E-452B-4397-AEA9-68DBF8D3A229}" type="presOf" srcId="{5075CEC0-77A5-4989-8EFA-FB5086DE93D7}" destId="{AECA877E-9E7E-42A8-916E-22185F918B62}" srcOrd="0" destOrd="0" presId="urn:microsoft.com/office/officeart/2005/8/layout/arrow5"/>
    <dgm:cxn modelId="{06EBB89F-D1B3-400A-82D0-CBA6A249937A}" type="presOf" srcId="{628C6889-394A-4427-8732-3EDA39A15B08}" destId="{B8834F15-D03F-4FDF-8801-CFECD5A38ED3}" srcOrd="0" destOrd="0" presId="urn:microsoft.com/office/officeart/2005/8/layout/arrow5"/>
    <dgm:cxn modelId="{919239AD-A58C-4563-AEAB-97C8439D0785}" type="presOf" srcId="{B9386EF2-F489-4987-9402-40DF9BAD795A}" destId="{A30A3B5E-3459-440B-AE90-FC9F149F3A5F}" srcOrd="0" destOrd="0" presId="urn:microsoft.com/office/officeart/2005/8/layout/arrow5"/>
    <dgm:cxn modelId="{220638FC-17EA-400E-BF32-CCDCE1F3AD2F}" srcId="{5075CEC0-77A5-4989-8EFA-FB5086DE93D7}" destId="{628C6889-394A-4427-8732-3EDA39A15B08}" srcOrd="1" destOrd="0" parTransId="{BB1FEF16-6821-44B4-8985-0D2C33D67B97}" sibTransId="{F5A08FAC-6FD1-4797-B4F2-6B1A8827131C}"/>
    <dgm:cxn modelId="{E2869E86-C7BF-4618-83C7-170498884020}" type="presParOf" srcId="{AECA877E-9E7E-42A8-916E-22185F918B62}" destId="{A30A3B5E-3459-440B-AE90-FC9F149F3A5F}" srcOrd="0" destOrd="0" presId="urn:microsoft.com/office/officeart/2005/8/layout/arrow5"/>
    <dgm:cxn modelId="{3565C11F-312E-4F2A-89D0-A439A58F3E50}" type="presParOf" srcId="{AECA877E-9E7E-42A8-916E-22185F918B62}" destId="{B8834F15-D03F-4FDF-8801-CFECD5A38ED3}" srcOrd="1" destOrd="0" presId="urn:microsoft.com/office/officeart/2005/8/layout/arrow5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876300" y="857249"/>
          <a:ext cx="1047750" cy="1047750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Person Centered</a:t>
          </a:r>
        </a:p>
      </dsp:txBody>
      <dsp:txXfrm>
        <a:off x="1086944" y="1102679"/>
        <a:ext cx="626462" cy="538566"/>
      </dsp:txXfrm>
    </dsp:sp>
    <dsp:sp modelId="{92C8D4F5-79A2-46B4-ACB2-76BAF8E81BD2}">
      <dsp:nvSpPr>
        <dsp:cNvPr id="0" name=""/>
        <dsp:cNvSpPr/>
      </dsp:nvSpPr>
      <dsp:spPr>
        <a:xfrm>
          <a:off x="266699" y="609600"/>
          <a:ext cx="762000" cy="762000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Flow</a:t>
          </a:r>
        </a:p>
      </dsp:txBody>
      <dsp:txXfrm>
        <a:off x="458535" y="802595"/>
        <a:ext cx="378328" cy="376010"/>
      </dsp:txXfrm>
    </dsp:sp>
    <dsp:sp modelId="{76545084-0B49-479C-835B-7413B848C4E7}">
      <dsp:nvSpPr>
        <dsp:cNvPr id="0" name=""/>
        <dsp:cNvSpPr/>
      </dsp:nvSpPr>
      <dsp:spPr>
        <a:xfrm rot="20700000">
          <a:off x="693497" y="83897"/>
          <a:ext cx="746604" cy="746604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Safety</a:t>
          </a:r>
        </a:p>
      </dsp:txBody>
      <dsp:txXfrm rot="-20700000">
        <a:off x="857250" y="247649"/>
        <a:ext cx="419100" cy="419100"/>
      </dsp:txXfrm>
    </dsp:sp>
    <dsp:sp modelId="{B37849E0-CEA8-488F-91B6-DCD6996B663B}">
      <dsp:nvSpPr>
        <dsp:cNvPr id="0" name=""/>
        <dsp:cNvSpPr/>
      </dsp:nvSpPr>
      <dsp:spPr>
        <a:xfrm>
          <a:off x="772922" y="711661"/>
          <a:ext cx="1341120" cy="1341120"/>
        </a:xfrm>
        <a:prstGeom prst="circularArrow">
          <a:avLst>
            <a:gd name="adj1" fmla="val 4687"/>
            <a:gd name="adj2" fmla="val 299029"/>
            <a:gd name="adj3" fmla="val 2413325"/>
            <a:gd name="adj4" fmla="val 16103937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131751" y="450822"/>
          <a:ext cx="974407" cy="974407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520800" y="-69812"/>
          <a:ext cx="1050607" cy="1050607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A30A3B5E-3459-440B-AE90-FC9F149F3A5F}">
      <dsp:nvSpPr>
        <dsp:cNvPr id="0" name=""/>
        <dsp:cNvSpPr/>
      </dsp:nvSpPr>
      <dsp:spPr>
        <a:xfrm rot="16200000">
          <a:off x="902" y="441"/>
          <a:ext cx="637292" cy="637292"/>
        </a:xfrm>
        <a:prstGeom prst="downArrow">
          <a:avLst>
            <a:gd name="adj1" fmla="val 50000"/>
            <a:gd name="adj2" fmla="val 35000"/>
          </a:avLst>
        </a:prstGeom>
        <a:solidFill>
          <a:srgbClr val="FF000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784" tIns="49784" rIns="49784" bIns="49784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700" kern="1200"/>
            <a:t>Admitted</a:t>
          </a:r>
        </a:p>
      </dsp:txBody>
      <dsp:txXfrm rot="5400000">
        <a:off x="902" y="159764"/>
        <a:ext cx="525766" cy="318646"/>
      </dsp:txXfrm>
    </dsp:sp>
    <dsp:sp modelId="{B8834F15-D03F-4FDF-8801-CFECD5A38ED3}">
      <dsp:nvSpPr>
        <dsp:cNvPr id="0" name=""/>
        <dsp:cNvSpPr/>
      </dsp:nvSpPr>
      <dsp:spPr>
        <a:xfrm rot="5400000">
          <a:off x="3816329" y="441"/>
          <a:ext cx="637292" cy="637292"/>
        </a:xfrm>
        <a:prstGeom prst="downArrow">
          <a:avLst>
            <a:gd name="adj1" fmla="val 50000"/>
            <a:gd name="adj2" fmla="val 35000"/>
          </a:avLst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784" tIns="49784" rIns="49784" bIns="49784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700" kern="1200"/>
            <a:t>Discharged</a:t>
          </a:r>
        </a:p>
      </dsp:txBody>
      <dsp:txXfrm rot="-5400000">
        <a:off x="3927855" y="159764"/>
        <a:ext cx="525766" cy="31864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arrow5">
  <dgm:title val=""/>
  <dgm:desc val=""/>
  <dgm:catLst>
    <dgm:cat type="relationship" pri="6000"/>
    <dgm:cat type="process" pri="31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4" srcId="0" destId="1" srcOrd="0" destOrd="0"/>
        <dgm:cxn modelId="5" srcId="0" destId="2" srcOrd="1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diagram">
    <dgm:varLst>
      <dgm:dir/>
      <dgm:resizeHandles val="exact"/>
    </dgm:varLst>
    <dgm:choose name="Name0">
      <dgm:if name="Name1" axis="ch" ptType="node" func="cnt" op="equ" val="2">
        <dgm:choose name="Name2">
          <dgm:if name="Name3" func="var" arg="dir" op="equ" val="norm">
            <dgm:alg type="cycle">
              <dgm:param type="rotPath" val="alongPath"/>
              <dgm:param type="stAng" val="270"/>
            </dgm:alg>
          </dgm:if>
          <dgm:else name="Name4">
            <dgm:alg type="cycle">
              <dgm:param type="rotPath" val="alongPath"/>
              <dgm:param type="stAng" val="90"/>
              <dgm:param type="spanAng" val="-360"/>
            </dgm:alg>
          </dgm:else>
        </dgm:choose>
      </dgm:if>
      <dgm:else name="Name5">
        <dgm:choose name="Name6">
          <dgm:if name="Name7" func="var" arg="dir" op="equ" val="norm">
            <dgm:alg type="cycle">
              <dgm:param type="rotPath" val="alongPath"/>
            </dgm:alg>
          </dgm:if>
          <dgm:else name="Name8">
            <dgm:alg type="cycle">
              <dgm:param type="rotPath" val="alongPath"/>
              <dgm:param type="spanAng" val="-360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9">
      <dgm:if name="Name10" axis="ch" ptType="node" func="cnt" op="lte" val="2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0.1"/>
          <dgm:constr type="sibSp" refType="h" op="lte" fact="0.1"/>
          <dgm:constr type="diam" refType="w" refFor="ch" refPtType="node" op="equ" fact="1.1"/>
        </dgm:constrLst>
      </dgm:if>
      <dgm:if name="Name11" axis="ch" ptType="node" func="cnt" op="equ" val="5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2"/>
          <dgm:constr type="sibSp" refType="h" op="lte" fact="0.1"/>
        </dgm:constrLst>
      </dgm:if>
      <dgm:if name="Name12" axis="ch" ptType="node" func="cnt" op="equ" val="6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if name="Name13" axis="ch" ptType="node" func="cnt" op="equ" val="7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if name="Name14" axis="ch" ptType="node" func="cnt" op="equ" val="8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/>
          <dgm:constr type="sibSp" refType="h" op="lte" fact="0.1"/>
        </dgm:constrLst>
      </dgm:if>
      <dgm:if name="Name15" axis="ch" ptType="node" func="cnt" op="gte" val="9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else name="Name16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35"/>
        </dgm:constrLst>
      </dgm:else>
    </dgm:choose>
    <dgm:ruleLst/>
    <dgm:forEach name="Name17" axis="ch" ptType="node">
      <dgm:layoutNode name="arrow">
        <dgm:varLst>
          <dgm:bulletEnabled val="1"/>
        </dgm:varLst>
        <dgm:alg type="tx"/>
        <dgm:shape xmlns:r="http://schemas.openxmlformats.org/officeDocument/2006/relationships" type="downArrow" r:blip="">
          <dgm:adjLst>
            <dgm:adj idx="2" val="0.35"/>
          </dgm:adjLst>
        </dgm:shape>
        <dgm:presOf axis="desOrSelf" ptType="node"/>
        <dgm:constrLst/>
        <dgm:ruleLst>
          <dgm:rule type="primFontSz" val="5" fact="NaN" max="NaN"/>
        </dgm:ruleLst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12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image" Target="../media/image1.png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0</xdr:row>
      <xdr:rowOff>38100</xdr:rowOff>
    </xdr:from>
    <xdr:to>
      <xdr:col>12</xdr:col>
      <xdr:colOff>571501</xdr:colOff>
      <xdr:row>9</xdr:row>
      <xdr:rowOff>38100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5</xdr:col>
      <xdr:colOff>581025</xdr:colOff>
      <xdr:row>1</xdr:row>
      <xdr:rowOff>47626</xdr:rowOff>
    </xdr:from>
    <xdr:to>
      <xdr:col>7</xdr:col>
      <xdr:colOff>450850</xdr:colOff>
      <xdr:row>2</xdr:row>
      <xdr:rowOff>209550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3838575" y="1336676"/>
          <a:ext cx="873125" cy="32067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96.4</a:t>
          </a:r>
          <a:r>
            <a:rPr lang="en-GB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%</a:t>
          </a:r>
        </a:p>
        <a:p>
          <a:pPr algn="l" rtl="0">
            <a:defRPr sz="1000"/>
          </a:pPr>
          <a:endParaRPr lang="en-GB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5</xdr:col>
      <xdr:colOff>581025</xdr:colOff>
      <xdr:row>4</xdr:row>
      <xdr:rowOff>38101</xdr:rowOff>
    </xdr:from>
    <xdr:to>
      <xdr:col>7</xdr:col>
      <xdr:colOff>463550</xdr:colOff>
      <xdr:row>5</xdr:row>
      <xdr:rowOff>200025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3838575" y="1917701"/>
          <a:ext cx="885825" cy="32067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101.5</a:t>
          </a:r>
          <a:r>
            <a:rPr lang="en-GB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%</a:t>
          </a:r>
        </a:p>
        <a:p>
          <a:pPr algn="l" rtl="0">
            <a:defRPr sz="1000"/>
          </a:pPr>
          <a:endParaRPr lang="en-GB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603250</xdr:colOff>
      <xdr:row>7</xdr:row>
      <xdr:rowOff>6350</xdr:rowOff>
    </xdr:from>
    <xdr:to>
      <xdr:col>8</xdr:col>
      <xdr:colOff>95250</xdr:colOff>
      <xdr:row>10</xdr:row>
      <xdr:rowOff>177800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oneCellAnchor>
    <xdr:from>
      <xdr:col>3</xdr:col>
      <xdr:colOff>501650</xdr:colOff>
      <xdr:row>7</xdr:row>
      <xdr:rowOff>139700</xdr:rowOff>
    </xdr:from>
    <xdr:ext cx="1136650" cy="50165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2330450" y="2623820"/>
          <a:ext cx="1136650" cy="5016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en-GB" sz="1800" b="1"/>
            <a:t>+ 2 beds</a:t>
          </a:r>
        </a:p>
      </xdr:txBody>
    </xdr:sp>
    <xdr:clientData/>
  </xdr:oneCellAnchor>
  <xdr:oneCellAnchor>
    <xdr:from>
      <xdr:col>2</xdr:col>
      <xdr:colOff>177800</xdr:colOff>
      <xdr:row>8</xdr:row>
      <xdr:rowOff>57150</xdr:rowOff>
    </xdr:from>
    <xdr:ext cx="431800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397000" y="2708910"/>
          <a:ext cx="431800" cy="26456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 b="1"/>
            <a:t>106</a:t>
          </a:r>
        </a:p>
      </xdr:txBody>
    </xdr:sp>
    <xdr:clientData/>
  </xdr:oneCellAnchor>
  <xdr:oneCellAnchor>
    <xdr:from>
      <xdr:col>15</xdr:col>
      <xdr:colOff>374650</xdr:colOff>
      <xdr:row>24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091930" y="651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6</xdr:col>
      <xdr:colOff>88900</xdr:colOff>
      <xdr:row>8</xdr:row>
      <xdr:rowOff>63500</xdr:rowOff>
    </xdr:from>
    <xdr:ext cx="425450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929380" y="2715260"/>
          <a:ext cx="425450" cy="264560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 b="1"/>
            <a:t>1088</a:t>
          </a:r>
        </a:p>
      </xdr:txBody>
    </xdr:sp>
    <xdr:clientData/>
  </xdr:oneCellAnchor>
  <xdr:twoCellAnchor>
    <xdr:from>
      <xdr:col>1</xdr:col>
      <xdr:colOff>5715</xdr:colOff>
      <xdr:row>24</xdr:row>
      <xdr:rowOff>242570</xdr:rowOff>
    </xdr:from>
    <xdr:to>
      <xdr:col>4</xdr:col>
      <xdr:colOff>411480</xdr:colOff>
      <xdr:row>26</xdr:row>
      <xdr:rowOff>258030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110490" y="5100320"/>
          <a:ext cx="2406015" cy="463135"/>
          <a:chOff x="173672" y="14179"/>
          <a:chExt cx="2431415" cy="383760"/>
        </a:xfrm>
      </xdr:grpSpPr>
      <xdr:sp macro="" textlink="">
        <xdr:nvSpPr>
          <xdr:cNvPr id="11" name="Rounded 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73672" y="14179"/>
            <a:ext cx="2431415" cy="38376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2" name="Rounded Rectangle 4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92406" y="3291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Falls:</a:t>
            </a:r>
          </a:p>
        </xdr:txBody>
      </xdr:sp>
    </xdr:grpSp>
    <xdr:clientData/>
  </xdr:twoCellAnchor>
  <xdr:twoCellAnchor>
    <xdr:from>
      <xdr:col>0</xdr:col>
      <xdr:colOff>598805</xdr:colOff>
      <xdr:row>27</xdr:row>
      <xdr:rowOff>6351</xdr:rowOff>
    </xdr:from>
    <xdr:to>
      <xdr:col>4</xdr:col>
      <xdr:colOff>394970</xdr:colOff>
      <xdr:row>28</xdr:row>
      <xdr:rowOff>236221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103505" y="5568951"/>
          <a:ext cx="2396490" cy="458470"/>
          <a:chOff x="173672" y="603859"/>
          <a:chExt cx="2431415" cy="3837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73672" y="603859"/>
            <a:ext cx="2431415" cy="383760"/>
          </a:xfrm>
          <a:prstGeom prst="roundRect">
            <a:avLst/>
          </a:prstGeom>
          <a:solidFill>
            <a:schemeClr val="accent3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5" name="Rounded Rectangle 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192406" y="62259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Deaths:</a:t>
            </a:r>
          </a:p>
        </xdr:txBody>
      </xdr:sp>
    </xdr:grpSp>
    <xdr:clientData/>
  </xdr:twoCellAnchor>
  <xdr:twoCellAnchor>
    <xdr:from>
      <xdr:col>11</xdr:col>
      <xdr:colOff>320675</xdr:colOff>
      <xdr:row>25</xdr:row>
      <xdr:rowOff>15875</xdr:rowOff>
    </xdr:from>
    <xdr:to>
      <xdr:col>15</xdr:col>
      <xdr:colOff>288290</xdr:colOff>
      <xdr:row>27</xdr:row>
      <xdr:rowOff>2760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6769100" y="5111750"/>
          <a:ext cx="2406015" cy="453610"/>
          <a:chOff x="173672" y="1193539"/>
          <a:chExt cx="2431415" cy="383760"/>
        </a:xfrm>
      </xdr:grpSpPr>
      <xdr:sp macro="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73672" y="1193539"/>
            <a:ext cx="2431415" cy="383760"/>
          </a:xfrm>
          <a:prstGeom prst="roundRect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ounded Rectangle 4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92406" y="121227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DATIX:</a:t>
            </a:r>
          </a:p>
        </xdr:txBody>
      </xdr:sp>
    </xdr:grpSp>
    <xdr:clientData/>
  </xdr:twoCellAnchor>
  <xdr:twoCellAnchor>
    <xdr:from>
      <xdr:col>11</xdr:col>
      <xdr:colOff>333375</xdr:colOff>
      <xdr:row>27</xdr:row>
      <xdr:rowOff>28575</xdr:rowOff>
    </xdr:from>
    <xdr:to>
      <xdr:col>15</xdr:col>
      <xdr:colOff>300990</xdr:colOff>
      <xdr:row>29</xdr:row>
      <xdr:rowOff>66675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6781800" y="5591175"/>
          <a:ext cx="2406015" cy="504825"/>
          <a:chOff x="173672" y="14179"/>
          <a:chExt cx="2431415" cy="383760"/>
        </a:xfrm>
        <a:solidFill>
          <a:schemeClr val="accent4">
            <a:lumMod val="75000"/>
          </a:schemeClr>
        </a:solidFill>
      </xdr:grpSpPr>
      <xdr:sp macro="" textlink="">
        <xdr:nvSpPr>
          <xdr:cNvPr id="21" name="Rounded 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173672" y="14179"/>
            <a:ext cx="2431415" cy="383760"/>
          </a:xfrm>
          <a:prstGeom prst="roundRect">
            <a:avLst/>
          </a:prstGeom>
          <a:grpFill/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2" name="Rounded Rectangle 4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192406" y="32913"/>
            <a:ext cx="2393947" cy="346292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Patients</a:t>
            </a:r>
            <a:r>
              <a:rPr lang="en-GB" sz="1300" kern="1200" baseline="0">
                <a:latin typeface="Comic Sans MS" pitchFamily="66" charset="0"/>
              </a:rPr>
              <a:t> for early review</a:t>
            </a:r>
            <a:r>
              <a:rPr lang="en-GB" sz="1300" kern="1200">
                <a:latin typeface="Comic Sans MS" pitchFamily="66" charset="0"/>
              </a:rPr>
              <a:t>:</a:t>
            </a:r>
          </a:p>
        </xdr:txBody>
      </xdr:sp>
    </xdr:grpSp>
    <xdr:clientData/>
  </xdr:twoCellAnchor>
  <xdr:twoCellAnchor editAs="oneCell">
    <xdr:from>
      <xdr:col>20</xdr:col>
      <xdr:colOff>35499</xdr:colOff>
      <xdr:row>4</xdr:row>
      <xdr:rowOff>11431</xdr:rowOff>
    </xdr:from>
    <xdr:to>
      <xdr:col>20</xdr:col>
      <xdr:colOff>611505</xdr:colOff>
      <xdr:row>6</xdr:row>
      <xdr:rowOff>28576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00000000-0008-0000-07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1751249" y="1021081"/>
          <a:ext cx="576006" cy="4267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11</xdr:row>
      <xdr:rowOff>1</xdr:rowOff>
    </xdr:from>
    <xdr:to>
      <xdr:col>9</xdr:col>
      <xdr:colOff>238125</xdr:colOff>
      <xdr:row>23</xdr:row>
      <xdr:rowOff>76200</xdr:rowOff>
    </xdr:to>
    <xdr:pic>
      <xdr:nvPicPr>
        <xdr:cNvPr id="19" name="Picture 1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9600" y="3286126"/>
          <a:ext cx="5210175" cy="2533649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showGridLines="0" tabSelected="1" zoomScaleNormal="100" workbookViewId="0">
      <pane ySplit="7" topLeftCell="A8" activePane="bottomLeft" state="frozen"/>
      <selection pane="bottomLeft" activeCell="C9" sqref="C9:D9"/>
    </sheetView>
  </sheetViews>
  <sheetFormatPr defaultColWidth="9.140625" defaultRowHeight="12" x14ac:dyDescent="0.2"/>
  <cols>
    <col min="1" max="1" width="11.42578125" style="62" customWidth="1"/>
    <col min="2" max="2" width="11.140625" style="62" customWidth="1"/>
    <col min="3" max="3" width="19" style="62" customWidth="1"/>
    <col min="4" max="4" width="12.42578125" style="62" customWidth="1"/>
    <col min="5" max="5" width="13.42578125" style="62" customWidth="1"/>
    <col min="6" max="6" width="14.42578125" style="62" customWidth="1"/>
    <col min="7" max="7" width="13.5703125" style="62" customWidth="1"/>
    <col min="8" max="8" width="12.85546875" style="62" customWidth="1"/>
    <col min="9" max="9" width="13.42578125" style="62" customWidth="1"/>
    <col min="10" max="10" width="14.140625" style="62" customWidth="1"/>
    <col min="11" max="11" width="16.5703125" style="62" customWidth="1"/>
    <col min="12" max="12" width="16.85546875" style="62" customWidth="1"/>
    <col min="13" max="13" width="16" style="62" customWidth="1"/>
    <col min="14" max="14" width="10" style="62" customWidth="1"/>
    <col min="15" max="15" width="8.5703125" style="62" customWidth="1"/>
    <col min="16" max="16" width="9.140625" style="62"/>
    <col min="17" max="17" width="0" style="62" hidden="1" customWidth="1"/>
    <col min="18" max="16384" width="9.140625" style="62"/>
  </cols>
  <sheetData>
    <row r="1" spans="1:17" ht="27.75" customHeight="1" thickBot="1" x14ac:dyDescent="0.25">
      <c r="A1" s="472" t="s">
        <v>48</v>
      </c>
      <c r="B1" s="473"/>
      <c r="C1" s="473"/>
      <c r="D1" s="473"/>
      <c r="E1" s="473"/>
      <c r="F1" s="473"/>
      <c r="G1" s="473"/>
      <c r="H1" s="473"/>
      <c r="I1" s="473"/>
      <c r="J1" s="473"/>
      <c r="K1" s="473"/>
      <c r="L1" s="439"/>
      <c r="M1" s="83"/>
      <c r="Q1" s="95" t="s">
        <v>64</v>
      </c>
    </row>
    <row r="2" spans="1:17" ht="9" customHeight="1" thickBot="1" x14ac:dyDescent="0.25">
      <c r="D2" s="5"/>
      <c r="E2" s="5"/>
      <c r="F2" s="5"/>
      <c r="G2" s="5"/>
      <c r="H2" s="5"/>
      <c r="I2" s="5"/>
      <c r="J2" s="9"/>
      <c r="K2" s="5"/>
      <c r="L2" s="9"/>
      <c r="M2" s="71"/>
      <c r="N2" s="9"/>
      <c r="O2" s="9"/>
      <c r="P2" s="5"/>
      <c r="Q2" s="95" t="s">
        <v>65</v>
      </c>
    </row>
    <row r="3" spans="1:17" s="74" customFormat="1" ht="12.75" x14ac:dyDescent="0.2">
      <c r="A3" s="457" t="s">
        <v>51</v>
      </c>
      <c r="B3" s="480"/>
      <c r="C3" s="483" t="s">
        <v>204</v>
      </c>
      <c r="D3" s="484"/>
      <c r="E3" s="73"/>
      <c r="F3" s="487" t="s">
        <v>50</v>
      </c>
      <c r="G3" s="455" t="s">
        <v>205</v>
      </c>
      <c r="H3" s="73"/>
      <c r="I3" s="457" t="s">
        <v>52</v>
      </c>
      <c r="J3" s="458"/>
      <c r="K3" s="461" t="s">
        <v>206</v>
      </c>
      <c r="L3" s="462"/>
      <c r="M3" s="81"/>
      <c r="N3" s="19"/>
      <c r="O3" s="19"/>
      <c r="P3" s="73"/>
      <c r="Q3" s="95" t="s">
        <v>66</v>
      </c>
    </row>
    <row r="4" spans="1:17" s="74" customFormat="1" ht="13.5" thickBot="1" x14ac:dyDescent="0.25">
      <c r="A4" s="481"/>
      <c r="B4" s="482"/>
      <c r="C4" s="485"/>
      <c r="D4" s="486"/>
      <c r="E4" s="73"/>
      <c r="F4" s="488"/>
      <c r="G4" s="456"/>
      <c r="H4" s="73"/>
      <c r="I4" s="459"/>
      <c r="J4" s="460"/>
      <c r="K4" s="463"/>
      <c r="L4" s="464"/>
      <c r="M4" s="81"/>
      <c r="N4" s="19"/>
      <c r="O4" s="19"/>
      <c r="P4" s="73"/>
    </row>
    <row r="5" spans="1:17" s="70" customFormat="1" ht="12.75" thickBot="1" x14ac:dyDescent="0.25">
      <c r="D5" s="5"/>
      <c r="E5" s="5"/>
      <c r="F5" s="5"/>
      <c r="G5" s="5"/>
      <c r="H5" s="5"/>
      <c r="I5" s="5"/>
      <c r="J5" s="9"/>
      <c r="K5" s="5"/>
      <c r="L5" s="9"/>
      <c r="M5" s="71"/>
      <c r="N5" s="9"/>
      <c r="O5" s="9"/>
      <c r="P5" s="5"/>
    </row>
    <row r="6" spans="1:17" ht="13.5" customHeight="1" thickBot="1" x14ac:dyDescent="0.25">
      <c r="A6" s="434" t="s">
        <v>49</v>
      </c>
      <c r="B6" s="435"/>
      <c r="C6" s="435"/>
      <c r="D6" s="436"/>
      <c r="E6" s="61"/>
      <c r="F6" s="434" t="s">
        <v>185</v>
      </c>
      <c r="G6" s="435"/>
      <c r="H6" s="435"/>
      <c r="I6" s="435"/>
      <c r="J6" s="435"/>
      <c r="K6" s="435"/>
      <c r="L6" s="435"/>
      <c r="M6" s="436"/>
      <c r="N6" s="18"/>
      <c r="O6" s="18"/>
      <c r="P6" s="18"/>
      <c r="Q6" s="5"/>
    </row>
    <row r="7" spans="1:17" ht="54.75" customHeight="1" thickBot="1" x14ac:dyDescent="0.25">
      <c r="A7" s="48" t="s">
        <v>173</v>
      </c>
      <c r="B7" s="48" t="s">
        <v>53</v>
      </c>
      <c r="C7" s="465" t="s">
        <v>117</v>
      </c>
      <c r="D7" s="466"/>
      <c r="E7" s="9"/>
      <c r="F7" s="66" t="s">
        <v>37</v>
      </c>
      <c r="G7" s="66" t="s">
        <v>38</v>
      </c>
      <c r="H7" s="66" t="s">
        <v>39</v>
      </c>
      <c r="I7" s="66" t="s">
        <v>46</v>
      </c>
      <c r="J7" s="66" t="s">
        <v>40</v>
      </c>
      <c r="K7" s="66" t="s">
        <v>41</v>
      </c>
      <c r="L7" s="66" t="s">
        <v>62</v>
      </c>
      <c r="M7" s="66" t="s">
        <v>186</v>
      </c>
      <c r="N7" s="9"/>
      <c r="O7" s="4"/>
      <c r="P7" s="4"/>
    </row>
    <row r="8" spans="1:17" ht="16.5" customHeight="1" x14ac:dyDescent="0.2">
      <c r="A8" s="276" t="s">
        <v>10</v>
      </c>
      <c r="B8" s="279">
        <v>37</v>
      </c>
      <c r="C8" s="445">
        <v>0</v>
      </c>
      <c r="D8" s="446"/>
      <c r="E8" s="9"/>
      <c r="F8" s="477">
        <v>12</v>
      </c>
      <c r="G8" s="479">
        <v>0.22500000000000001</v>
      </c>
      <c r="H8" s="479">
        <v>5.9722222222222225E-2</v>
      </c>
      <c r="I8" s="451">
        <v>7</v>
      </c>
      <c r="J8" s="451">
        <v>5</v>
      </c>
      <c r="K8" s="451">
        <v>5</v>
      </c>
      <c r="L8" s="437">
        <v>5</v>
      </c>
      <c r="M8" s="437">
        <v>22</v>
      </c>
      <c r="N8" s="9"/>
      <c r="O8" s="4"/>
      <c r="P8" s="4"/>
    </row>
    <row r="9" spans="1:17" ht="16.5" customHeight="1" thickBot="1" x14ac:dyDescent="0.25">
      <c r="A9" s="277">
        <v>13</v>
      </c>
      <c r="B9" s="280">
        <v>12</v>
      </c>
      <c r="C9" s="423">
        <v>10</v>
      </c>
      <c r="D9" s="424"/>
      <c r="E9" s="9"/>
      <c r="F9" s="478"/>
      <c r="G9" s="452"/>
      <c r="H9" s="452"/>
      <c r="I9" s="452"/>
      <c r="J9" s="452"/>
      <c r="K9" s="452"/>
      <c r="L9" s="438"/>
      <c r="M9" s="438"/>
      <c r="N9" s="9"/>
      <c r="O9" s="4"/>
      <c r="P9" s="4"/>
    </row>
    <row r="10" spans="1:17" ht="16.5" customHeight="1" thickBot="1" x14ac:dyDescent="0.25">
      <c r="A10" s="277">
        <v>9</v>
      </c>
      <c r="B10" s="280">
        <v>7</v>
      </c>
      <c r="C10" s="423">
        <v>5</v>
      </c>
      <c r="D10" s="424"/>
      <c r="E10" s="9"/>
      <c r="F10" s="79"/>
      <c r="G10" s="60"/>
      <c r="H10" s="60"/>
      <c r="I10" s="60"/>
      <c r="J10" s="60"/>
      <c r="K10" s="80"/>
      <c r="L10" s="5"/>
      <c r="M10" s="9"/>
      <c r="N10" s="9"/>
      <c r="O10" s="4"/>
      <c r="P10" s="4"/>
    </row>
    <row r="11" spans="1:17" ht="18" customHeight="1" x14ac:dyDescent="0.2">
      <c r="A11" s="277">
        <v>22</v>
      </c>
      <c r="B11" s="280">
        <v>20</v>
      </c>
      <c r="C11" s="423">
        <v>1</v>
      </c>
      <c r="D11" s="424"/>
      <c r="E11" s="9"/>
      <c r="F11" s="465" t="s">
        <v>36</v>
      </c>
      <c r="G11" s="467"/>
      <c r="H11" s="408" t="s">
        <v>54</v>
      </c>
      <c r="I11" s="69"/>
      <c r="J11" s="447" t="s">
        <v>81</v>
      </c>
      <c r="K11" s="449" t="s">
        <v>58</v>
      </c>
      <c r="L11" s="489" t="s">
        <v>82</v>
      </c>
      <c r="M11" s="453" t="s">
        <v>83</v>
      </c>
      <c r="N11" s="4"/>
      <c r="O11" s="4"/>
      <c r="P11" s="4"/>
    </row>
    <row r="12" spans="1:17" ht="19.5" customHeight="1" x14ac:dyDescent="0.2">
      <c r="A12" s="277">
        <v>23</v>
      </c>
      <c r="B12" s="280">
        <v>26</v>
      </c>
      <c r="C12" s="423">
        <v>2</v>
      </c>
      <c r="D12" s="424"/>
      <c r="E12" s="9"/>
      <c r="F12" s="468"/>
      <c r="G12" s="469"/>
      <c r="H12" s="407"/>
      <c r="I12" s="9"/>
      <c r="J12" s="448"/>
      <c r="K12" s="450"/>
      <c r="L12" s="490"/>
      <c r="M12" s="454"/>
    </row>
    <row r="13" spans="1:17" ht="16.5" customHeight="1" thickBot="1" x14ac:dyDescent="0.25">
      <c r="A13" s="277">
        <v>32</v>
      </c>
      <c r="B13" s="280">
        <v>23</v>
      </c>
      <c r="C13" s="423">
        <v>2</v>
      </c>
      <c r="D13" s="424"/>
      <c r="E13" s="9"/>
      <c r="F13" s="468"/>
      <c r="G13" s="469"/>
      <c r="H13" s="407"/>
      <c r="I13" s="9"/>
      <c r="J13" s="368" t="s">
        <v>56</v>
      </c>
      <c r="K13" s="363">
        <v>73</v>
      </c>
      <c r="L13" s="116">
        <v>41</v>
      </c>
      <c r="M13" s="364">
        <v>11</v>
      </c>
    </row>
    <row r="14" spans="1:17" ht="16.5" customHeight="1" x14ac:dyDescent="0.2">
      <c r="A14" s="277">
        <v>33</v>
      </c>
      <c r="B14" s="280">
        <v>10</v>
      </c>
      <c r="C14" s="423">
        <v>0</v>
      </c>
      <c r="D14" s="424"/>
      <c r="E14" s="9"/>
      <c r="F14" s="401" t="s">
        <v>174</v>
      </c>
      <c r="G14" s="402"/>
      <c r="H14" s="118">
        <v>7</v>
      </c>
      <c r="I14" s="9"/>
      <c r="J14" s="362" t="s">
        <v>59</v>
      </c>
      <c r="K14" s="114">
        <v>12</v>
      </c>
      <c r="L14" s="116">
        <v>1</v>
      </c>
      <c r="M14" s="364">
        <v>0</v>
      </c>
      <c r="P14" s="331" t="s">
        <v>6</v>
      </c>
    </row>
    <row r="15" spans="1:17" s="226" customFormat="1" ht="16.5" customHeight="1" thickBot="1" x14ac:dyDescent="0.25">
      <c r="A15" s="277">
        <v>34</v>
      </c>
      <c r="B15" s="280">
        <v>16</v>
      </c>
      <c r="C15" s="423">
        <v>6</v>
      </c>
      <c r="D15" s="424"/>
      <c r="E15" s="225"/>
      <c r="F15" s="470" t="s">
        <v>175</v>
      </c>
      <c r="G15" s="471"/>
      <c r="H15" s="228">
        <v>0</v>
      </c>
      <c r="I15" s="225"/>
      <c r="J15" s="365" t="s">
        <v>57</v>
      </c>
      <c r="K15" s="115">
        <v>10</v>
      </c>
      <c r="L15" s="117">
        <v>1</v>
      </c>
      <c r="M15" s="366">
        <v>0</v>
      </c>
    </row>
    <row r="16" spans="1:17" ht="16.5" customHeight="1" x14ac:dyDescent="0.2">
      <c r="A16" s="277">
        <v>41</v>
      </c>
      <c r="B16" s="280">
        <v>22</v>
      </c>
      <c r="C16" s="423">
        <v>0</v>
      </c>
      <c r="D16" s="424"/>
      <c r="E16" s="9"/>
      <c r="F16" s="470" t="s">
        <v>176</v>
      </c>
      <c r="G16" s="471"/>
      <c r="H16" s="119">
        <v>3</v>
      </c>
      <c r="I16" s="9"/>
      <c r="J16" s="372"/>
      <c r="K16" s="371"/>
      <c r="L16" s="370"/>
      <c r="M16" s="369"/>
    </row>
    <row r="17" spans="1:16" ht="16.5" customHeight="1" thickBot="1" x14ac:dyDescent="0.25">
      <c r="A17" s="277">
        <v>42</v>
      </c>
      <c r="B17" s="280">
        <v>24</v>
      </c>
      <c r="C17" s="423">
        <v>6</v>
      </c>
      <c r="D17" s="424"/>
      <c r="E17" s="9"/>
      <c r="F17" s="470" t="s">
        <v>177</v>
      </c>
      <c r="G17" s="471"/>
      <c r="H17" s="119">
        <v>0</v>
      </c>
      <c r="I17" s="9"/>
      <c r="J17" s="9"/>
      <c r="K17" s="9"/>
      <c r="M17" s="9"/>
    </row>
    <row r="18" spans="1:16" ht="16.5" customHeight="1" thickBot="1" x14ac:dyDescent="0.25">
      <c r="A18" s="277">
        <v>43</v>
      </c>
      <c r="B18" s="280">
        <v>30</v>
      </c>
      <c r="C18" s="423">
        <v>0</v>
      </c>
      <c r="D18" s="424"/>
      <c r="E18" s="9"/>
      <c r="F18" s="491" t="s">
        <v>178</v>
      </c>
      <c r="G18" s="492"/>
      <c r="H18" s="120">
        <v>2</v>
      </c>
      <c r="I18" s="9"/>
      <c r="J18" s="415" t="s">
        <v>183</v>
      </c>
      <c r="K18" s="416"/>
      <c r="L18" s="416"/>
      <c r="M18" s="417"/>
    </row>
    <row r="19" spans="1:16" ht="16.5" customHeight="1" thickBot="1" x14ac:dyDescent="0.25">
      <c r="A19" s="277">
        <v>44</v>
      </c>
      <c r="B19" s="280">
        <v>30</v>
      </c>
      <c r="C19" s="423">
        <v>0</v>
      </c>
      <c r="D19" s="424"/>
      <c r="E19" s="9"/>
      <c r="F19" s="493"/>
      <c r="G19" s="494"/>
      <c r="H19" s="227"/>
      <c r="I19" s="9"/>
      <c r="J19" s="418"/>
      <c r="K19" s="419"/>
      <c r="L19" s="419"/>
      <c r="M19" s="420"/>
    </row>
    <row r="20" spans="1:16" ht="16.5" customHeight="1" thickBot="1" x14ac:dyDescent="0.25">
      <c r="A20" s="277">
        <v>51</v>
      </c>
      <c r="B20" s="280">
        <v>10</v>
      </c>
      <c r="C20" s="423">
        <v>0</v>
      </c>
      <c r="D20" s="424"/>
      <c r="E20" s="9"/>
      <c r="F20" s="493"/>
      <c r="G20" s="494"/>
      <c r="H20" s="5"/>
      <c r="I20" s="9"/>
      <c r="J20" s="425" t="s">
        <v>218</v>
      </c>
      <c r="K20" s="426"/>
      <c r="L20" s="426"/>
      <c r="M20" s="427"/>
    </row>
    <row r="21" spans="1:16" ht="16.5" customHeight="1" thickBot="1" x14ac:dyDescent="0.25">
      <c r="A21" s="278">
        <v>54</v>
      </c>
      <c r="B21" s="281">
        <v>7</v>
      </c>
      <c r="C21" s="421">
        <v>1</v>
      </c>
      <c r="D21" s="422"/>
      <c r="E21" s="9"/>
      <c r="F21" s="474" t="s">
        <v>69</v>
      </c>
      <c r="G21" s="475"/>
      <c r="H21" s="476"/>
      <c r="I21" s="9"/>
      <c r="J21" s="428"/>
      <c r="K21" s="429"/>
      <c r="L21" s="429"/>
      <c r="M21" s="430"/>
      <c r="P21" s="275" t="s">
        <v>6</v>
      </c>
    </row>
    <row r="22" spans="1:16" ht="16.5" customHeight="1" thickBot="1" x14ac:dyDescent="0.25">
      <c r="A22" s="399" t="s">
        <v>22</v>
      </c>
      <c r="B22" s="400"/>
      <c r="C22" s="399">
        <f>SUM(C8:C20)</f>
        <v>32</v>
      </c>
      <c r="D22" s="440"/>
      <c r="E22" s="9"/>
      <c r="F22" s="408" t="s">
        <v>9</v>
      </c>
      <c r="G22" s="408" t="s">
        <v>15</v>
      </c>
      <c r="H22" s="406" t="s">
        <v>55</v>
      </c>
      <c r="I22" s="79"/>
      <c r="J22" s="428"/>
      <c r="K22" s="429"/>
      <c r="L22" s="429"/>
      <c r="M22" s="430"/>
    </row>
    <row r="23" spans="1:16" ht="20.25" customHeight="1" thickBot="1" x14ac:dyDescent="0.25">
      <c r="A23" s="77"/>
      <c r="B23" s="5"/>
      <c r="C23" s="17"/>
      <c r="D23" s="17"/>
      <c r="E23" s="9"/>
      <c r="F23" s="409"/>
      <c r="G23" s="407"/>
      <c r="H23" s="407"/>
      <c r="I23" s="1"/>
      <c r="J23" s="431"/>
      <c r="K23" s="432"/>
      <c r="L23" s="432"/>
      <c r="M23" s="433"/>
    </row>
    <row r="24" spans="1:16" ht="16.5" customHeight="1" thickBot="1" x14ac:dyDescent="0.25">
      <c r="A24" s="276" t="s">
        <v>11</v>
      </c>
      <c r="B24" s="279">
        <v>22</v>
      </c>
      <c r="C24" s="441">
        <v>1</v>
      </c>
      <c r="D24" s="442"/>
      <c r="E24" s="9"/>
      <c r="F24" s="295" t="s">
        <v>182</v>
      </c>
      <c r="G24" s="147">
        <v>10</v>
      </c>
      <c r="H24" s="140">
        <v>0</v>
      </c>
      <c r="I24" s="79"/>
      <c r="J24" s="79"/>
      <c r="K24" s="69"/>
      <c r="L24" s="9"/>
      <c r="M24" s="9"/>
    </row>
    <row r="25" spans="1:16" ht="16.5" customHeight="1" x14ac:dyDescent="0.2">
      <c r="A25" s="277" t="s">
        <v>16</v>
      </c>
      <c r="B25" s="280">
        <v>10</v>
      </c>
      <c r="C25" s="443">
        <v>4</v>
      </c>
      <c r="D25" s="444"/>
      <c r="E25" s="9"/>
      <c r="F25" s="109">
        <v>13</v>
      </c>
      <c r="G25" s="367">
        <v>12</v>
      </c>
      <c r="H25" s="217">
        <v>14</v>
      </c>
      <c r="I25" s="60"/>
      <c r="J25" s="506" t="s">
        <v>2</v>
      </c>
      <c r="K25" s="403" t="s">
        <v>60</v>
      </c>
      <c r="L25" s="404"/>
      <c r="M25" s="405"/>
    </row>
    <row r="26" spans="1:16" ht="16.5" customHeight="1" thickBot="1" x14ac:dyDescent="0.25">
      <c r="A26" s="277">
        <v>10</v>
      </c>
      <c r="B26" s="280">
        <v>16</v>
      </c>
      <c r="C26" s="443">
        <v>5</v>
      </c>
      <c r="D26" s="444"/>
      <c r="E26" s="9"/>
      <c r="F26" s="109" t="s">
        <v>207</v>
      </c>
      <c r="G26" s="367">
        <v>0</v>
      </c>
      <c r="H26" s="216">
        <v>6</v>
      </c>
      <c r="I26" s="60"/>
      <c r="J26" s="497"/>
      <c r="K26" s="497" t="s">
        <v>61</v>
      </c>
      <c r="L26" s="498"/>
      <c r="M26" s="499"/>
      <c r="N26" s="4"/>
      <c r="O26" s="4"/>
      <c r="P26" s="4"/>
    </row>
    <row r="27" spans="1:16" ht="16.5" customHeight="1" x14ac:dyDescent="0.2">
      <c r="A27" s="277">
        <v>9</v>
      </c>
      <c r="B27" s="280">
        <v>8</v>
      </c>
      <c r="C27" s="443">
        <v>1</v>
      </c>
      <c r="D27" s="444"/>
      <c r="E27" s="9"/>
      <c r="F27" s="109" t="s">
        <v>217</v>
      </c>
      <c r="G27" s="354">
        <v>0</v>
      </c>
      <c r="H27" s="216">
        <v>0</v>
      </c>
      <c r="I27" s="60"/>
      <c r="J27" s="179">
        <v>0.75</v>
      </c>
      <c r="K27" s="500" t="s">
        <v>64</v>
      </c>
      <c r="L27" s="501"/>
      <c r="M27" s="502"/>
      <c r="N27" s="4"/>
      <c r="O27" s="4"/>
      <c r="P27" s="4"/>
    </row>
    <row r="28" spans="1:16" ht="16.5" customHeight="1" x14ac:dyDescent="0.2">
      <c r="A28" s="277">
        <v>52</v>
      </c>
      <c r="B28" s="280">
        <v>24</v>
      </c>
      <c r="C28" s="443">
        <v>1</v>
      </c>
      <c r="D28" s="444"/>
      <c r="E28" s="9"/>
      <c r="F28" s="109" t="s">
        <v>217</v>
      </c>
      <c r="G28" s="354">
        <v>0</v>
      </c>
      <c r="H28" s="217">
        <v>0</v>
      </c>
      <c r="I28" s="5"/>
      <c r="J28" s="398">
        <v>0.83333333333333337</v>
      </c>
      <c r="K28" s="503" t="s">
        <v>65</v>
      </c>
      <c r="L28" s="504"/>
      <c r="M28" s="505"/>
    </row>
    <row r="29" spans="1:16" ht="16.5" customHeight="1" thickBot="1" x14ac:dyDescent="0.25">
      <c r="A29" s="277">
        <v>53</v>
      </c>
      <c r="B29" s="280">
        <v>24</v>
      </c>
      <c r="C29" s="443">
        <v>2</v>
      </c>
      <c r="D29" s="444"/>
      <c r="E29" s="9"/>
      <c r="F29" s="219"/>
      <c r="G29" s="355">
        <v>0</v>
      </c>
      <c r="H29" s="218"/>
      <c r="I29" s="60"/>
      <c r="J29" s="352"/>
      <c r="K29" s="495"/>
      <c r="L29" s="496"/>
      <c r="M29" s="412"/>
    </row>
    <row r="30" spans="1:16" ht="16.5" customHeight="1" thickBot="1" x14ac:dyDescent="0.25">
      <c r="A30" s="278">
        <v>54</v>
      </c>
      <c r="B30" s="281">
        <v>17</v>
      </c>
      <c r="C30" s="411">
        <v>2</v>
      </c>
      <c r="D30" s="412"/>
      <c r="E30" s="9"/>
      <c r="F30" s="24"/>
      <c r="G30" s="149"/>
      <c r="H30" s="134"/>
      <c r="I30" s="60"/>
      <c r="K30" s="17"/>
      <c r="L30" s="9"/>
      <c r="M30" s="9"/>
    </row>
    <row r="31" spans="1:16" ht="16.5" customHeight="1" thickBot="1" x14ac:dyDescent="0.25">
      <c r="A31" s="399" t="s">
        <v>22</v>
      </c>
      <c r="B31" s="400"/>
      <c r="C31" s="413">
        <f>SUM(C24:C30)</f>
        <v>16</v>
      </c>
      <c r="D31" s="414"/>
      <c r="E31" s="9"/>
      <c r="F31" s="410"/>
      <c r="G31" s="410"/>
      <c r="H31" s="410"/>
      <c r="I31" s="410"/>
      <c r="J31" s="410"/>
      <c r="K31" s="410"/>
      <c r="L31" s="410"/>
      <c r="M31" s="410"/>
    </row>
    <row r="32" spans="1:16" ht="16.5" customHeight="1" thickBot="1" x14ac:dyDescent="0.25">
      <c r="A32" s="77"/>
      <c r="B32" s="5"/>
      <c r="C32" s="17"/>
      <c r="D32" s="17"/>
      <c r="E32" s="9"/>
      <c r="F32" s="429"/>
      <c r="G32" s="429"/>
      <c r="H32" s="429"/>
      <c r="I32" s="429"/>
      <c r="J32" s="429"/>
      <c r="K32" s="429"/>
      <c r="L32" s="429"/>
      <c r="M32" s="429"/>
    </row>
    <row r="33" spans="1:13" ht="16.5" customHeight="1" x14ac:dyDescent="0.2">
      <c r="A33" s="288">
        <v>31</v>
      </c>
      <c r="B33" s="279">
        <v>24</v>
      </c>
      <c r="C33" s="445">
        <v>2</v>
      </c>
      <c r="D33" s="446"/>
      <c r="E33" s="9"/>
      <c r="F33" s="429"/>
      <c r="G33" s="429"/>
      <c r="H33" s="429"/>
      <c r="I33" s="429"/>
      <c r="J33" s="429"/>
      <c r="K33" s="429"/>
      <c r="L33" s="429"/>
      <c r="M33" s="429"/>
    </row>
    <row r="34" spans="1:13" ht="16.5" customHeight="1" thickBot="1" x14ac:dyDescent="0.25">
      <c r="A34" s="289">
        <v>33</v>
      </c>
      <c r="B34" s="281">
        <v>13</v>
      </c>
      <c r="C34" s="421">
        <v>2</v>
      </c>
      <c r="D34" s="422"/>
      <c r="H34" s="60"/>
    </row>
    <row r="35" spans="1:13" ht="13.5" thickBot="1" x14ac:dyDescent="0.25">
      <c r="A35" s="413" t="s">
        <v>22</v>
      </c>
      <c r="B35" s="439"/>
      <c r="C35" s="413">
        <f t="shared" ref="C35" si="0">SUM(C33:C34)</f>
        <v>4</v>
      </c>
      <c r="D35" s="414"/>
      <c r="H35" s="5"/>
      <c r="J35" s="62" t="s">
        <v>6</v>
      </c>
    </row>
    <row r="36" spans="1:13" ht="15.75" customHeight="1" x14ac:dyDescent="0.2">
      <c r="A36" s="76"/>
      <c r="C36" s="78"/>
      <c r="D36" s="9"/>
      <c r="E36" s="9"/>
    </row>
    <row r="37" spans="1:13" x14ac:dyDescent="0.2">
      <c r="A37" s="75"/>
      <c r="C37" s="72"/>
    </row>
    <row r="38" spans="1:13" x14ac:dyDescent="0.2">
      <c r="A38" s="75"/>
      <c r="C38" s="72"/>
      <c r="G38" s="275" t="s">
        <v>6</v>
      </c>
    </row>
  </sheetData>
  <sheetProtection password="9D31" sheet="1" objects="1" scenarios="1" selectLockedCells="1"/>
  <mergeCells count="74">
    <mergeCell ref="F32:M33"/>
    <mergeCell ref="K29:M29"/>
    <mergeCell ref="K26:M26"/>
    <mergeCell ref="K27:M27"/>
    <mergeCell ref="K28:M28"/>
    <mergeCell ref="J25:J26"/>
    <mergeCell ref="A1:L1"/>
    <mergeCell ref="F21:H21"/>
    <mergeCell ref="F8:F9"/>
    <mergeCell ref="G8:G9"/>
    <mergeCell ref="H8:H9"/>
    <mergeCell ref="F16:G16"/>
    <mergeCell ref="A3:B4"/>
    <mergeCell ref="C3:D4"/>
    <mergeCell ref="F3:F4"/>
    <mergeCell ref="C10:D10"/>
    <mergeCell ref="L11:L12"/>
    <mergeCell ref="A6:D6"/>
    <mergeCell ref="F17:G17"/>
    <mergeCell ref="F18:G18"/>
    <mergeCell ref="F19:G19"/>
    <mergeCell ref="F20:G20"/>
    <mergeCell ref="M11:M12"/>
    <mergeCell ref="G3:G4"/>
    <mergeCell ref="I3:J4"/>
    <mergeCell ref="A22:B22"/>
    <mergeCell ref="K3:L4"/>
    <mergeCell ref="C7:D7"/>
    <mergeCell ref="C8:D8"/>
    <mergeCell ref="C9:D9"/>
    <mergeCell ref="C11:D11"/>
    <mergeCell ref="C12:D12"/>
    <mergeCell ref="C13:D13"/>
    <mergeCell ref="C15:D15"/>
    <mergeCell ref="C16:D16"/>
    <mergeCell ref="F11:G13"/>
    <mergeCell ref="H11:H13"/>
    <mergeCell ref="F15:G15"/>
    <mergeCell ref="J11:J12"/>
    <mergeCell ref="K11:K12"/>
    <mergeCell ref="L8:L9"/>
    <mergeCell ref="I8:I9"/>
    <mergeCell ref="J8:J9"/>
    <mergeCell ref="K8:K9"/>
    <mergeCell ref="F6:M6"/>
    <mergeCell ref="M8:M9"/>
    <mergeCell ref="A35:B35"/>
    <mergeCell ref="C18:D18"/>
    <mergeCell ref="C22:D22"/>
    <mergeCell ref="C24:D24"/>
    <mergeCell ref="C25:D25"/>
    <mergeCell ref="C19:D19"/>
    <mergeCell ref="C20:D20"/>
    <mergeCell ref="C35:D35"/>
    <mergeCell ref="C33:D33"/>
    <mergeCell ref="C34:D34"/>
    <mergeCell ref="C26:D26"/>
    <mergeCell ref="C27:D27"/>
    <mergeCell ref="C28:D28"/>
    <mergeCell ref="C29:D29"/>
    <mergeCell ref="A31:B31"/>
    <mergeCell ref="F14:G14"/>
    <mergeCell ref="K25:M25"/>
    <mergeCell ref="H22:H23"/>
    <mergeCell ref="F22:F23"/>
    <mergeCell ref="G22:G23"/>
    <mergeCell ref="F31:M31"/>
    <mergeCell ref="C30:D30"/>
    <mergeCell ref="C31:D31"/>
    <mergeCell ref="J18:M19"/>
    <mergeCell ref="C21:D21"/>
    <mergeCell ref="C14:D14"/>
    <mergeCell ref="C17:D17"/>
    <mergeCell ref="J20:M23"/>
  </mergeCells>
  <conditionalFormatting sqref="N28:O33">
    <cfRule type="cellIs" dxfId="153" priority="70" operator="greaterThan">
      <formula>1</formula>
    </cfRule>
    <cfRule type="cellIs" dxfId="152" priority="71" operator="greaterThan">
      <formula>0</formula>
    </cfRule>
    <cfRule type="colorScale" priority="72">
      <colorScale>
        <cfvo type="num" val="1"/>
        <cfvo type="num" val="1"/>
        <color rgb="FFFF0000"/>
        <color rgb="FFFF0000"/>
      </colorScale>
    </cfRule>
  </conditionalFormatting>
  <conditionalFormatting sqref="R8:R10 H16:H20">
    <cfRule type="containsText" dxfId="151" priority="66" operator="containsText" text="N">
      <formula>NOT(ISERROR(SEARCH("N",H8)))</formula>
    </cfRule>
    <cfRule type="containsText" dxfId="150" priority="67" operator="containsText" text="Y">
      <formula>NOT(ISERROR(SEARCH("Y",H8)))</formula>
    </cfRule>
    <cfRule type="containsText" dxfId="149" priority="68" operator="containsText" text="n">
      <formula>NOT(ISERROR(SEARCH("n",H8)))</formula>
    </cfRule>
    <cfRule type="containsText" dxfId="148" priority="69" operator="containsText" text="y">
      <formula>NOT(ISERROR(SEARCH("y",H8)))</formula>
    </cfRule>
  </conditionalFormatting>
  <conditionalFormatting sqref="G22 F21:F22 F29 H11 F14:F18 Q8:Q10">
    <cfRule type="cellIs" dxfId="147" priority="56" operator="between">
      <formula>1</formula>
      <formula>9</formula>
    </cfRule>
  </conditionalFormatting>
  <conditionalFormatting sqref="H34 I25:I30 H24:H30">
    <cfRule type="cellIs" dxfId="146" priority="20" operator="greaterThan">
      <formula>0</formula>
    </cfRule>
  </conditionalFormatting>
  <conditionalFormatting sqref="A1">
    <cfRule type="containsText" dxfId="145" priority="19" operator="containsText" text="Victoria Hospital Night Report">
      <formula>NOT(ISERROR(SEARCH("Victoria Hospital Night Report",A1)))</formula>
    </cfRule>
  </conditionalFormatting>
  <conditionalFormatting sqref="I8:I9">
    <cfRule type="cellIs" dxfId="144" priority="15" operator="greaterThan">
      <formula>0</formula>
    </cfRule>
  </conditionalFormatting>
  <conditionalFormatting sqref="J8:K9">
    <cfRule type="cellIs" dxfId="143" priority="14" operator="greaterThan">
      <formula>0</formula>
    </cfRule>
  </conditionalFormatting>
  <conditionalFormatting sqref="A1:L1">
    <cfRule type="containsText" dxfId="142" priority="12" operator="containsText" text="Victoria Hospital Night Report">
      <formula>NOT(ISERROR(SEARCH("Victoria Hospital Night Report",A1)))</formula>
    </cfRule>
  </conditionalFormatting>
  <conditionalFormatting sqref="H16:H18">
    <cfRule type="containsText" dxfId="141" priority="3" operator="containsText" text="N">
      <formula>NOT(ISERROR(SEARCH("N",H16)))</formula>
    </cfRule>
    <cfRule type="containsText" dxfId="140" priority="4" operator="containsText" text="Y">
      <formula>NOT(ISERROR(SEARCH("Y",H16)))</formula>
    </cfRule>
    <cfRule type="containsText" dxfId="139" priority="5" operator="containsText" text="n">
      <formula>NOT(ISERROR(SEARCH("n",H16)))</formula>
    </cfRule>
    <cfRule type="containsText" dxfId="138" priority="6" operator="containsText" text="y">
      <formula>NOT(ISERROR(SEARCH("y",H16)))</formula>
    </cfRule>
  </conditionalFormatting>
  <conditionalFormatting sqref="I8:I9">
    <cfRule type="cellIs" dxfId="137" priority="2" operator="greaterThan">
      <formula>0</formula>
    </cfRule>
  </conditionalFormatting>
  <conditionalFormatting sqref="J8:K9">
    <cfRule type="cellIs" dxfId="136" priority="1" operator="greaterThan">
      <formula>0</formula>
    </cfRule>
  </conditionalFormatting>
  <dataValidations count="1">
    <dataValidation type="list" allowBlank="1" showInputMessage="1" showErrorMessage="1" sqref="K27:K29 L27:M28" xr:uid="{00000000-0002-0000-0000-000000000000}">
      <formula1>$Q$1:$Q$3</formula1>
    </dataValidation>
  </dataValidations>
  <pageMargins left="0.7" right="0.7" top="0.75" bottom="0.75" header="0.3" footer="0.3"/>
  <pageSetup paperSize="9" scale="68" orientation="landscape" r:id="rId1"/>
  <colBreaks count="1" manualBreakCount="1"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2"/>
  <sheetViews>
    <sheetView showGridLines="0" zoomScaleNormal="100" workbookViewId="0">
      <selection activeCell="G3" sqref="G3"/>
    </sheetView>
  </sheetViews>
  <sheetFormatPr defaultColWidth="8.85546875" defaultRowHeight="26.25" customHeight="1" x14ac:dyDescent="0.2"/>
  <cols>
    <col min="1" max="8" width="8.85546875" style="151"/>
    <col min="9" max="9" width="11.85546875" style="151" bestFit="1" customWidth="1"/>
    <col min="10" max="16384" width="8.85546875" style="151"/>
  </cols>
  <sheetData>
    <row r="1" spans="1:22" ht="14.25" customHeight="1" thickBot="1" x14ac:dyDescent="0.25">
      <c r="A1" s="527" t="s">
        <v>86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9"/>
      <c r="P1" s="159"/>
    </row>
    <row r="2" spans="1:22" ht="26.25" customHeight="1" thickBot="1" x14ac:dyDescent="0.25">
      <c r="A2" s="509" t="s">
        <v>179</v>
      </c>
      <c r="B2" s="510"/>
      <c r="C2" s="510"/>
      <c r="D2" s="510"/>
      <c r="E2" s="167"/>
      <c r="F2" s="166" t="s">
        <v>85</v>
      </c>
      <c r="G2" s="164">
        <v>468</v>
      </c>
      <c r="H2" s="156"/>
      <c r="I2" s="511">
        <f>E2/G2</f>
        <v>0</v>
      </c>
      <c r="J2" s="512"/>
      <c r="K2" s="507" t="s">
        <v>95</v>
      </c>
      <c r="L2" s="508"/>
      <c r="M2" s="156"/>
      <c r="N2" s="156"/>
      <c r="O2" s="162"/>
    </row>
    <row r="3" spans="1:22" ht="26.25" customHeight="1" thickBot="1" x14ac:dyDescent="0.25">
      <c r="A3" s="509" t="s">
        <v>120</v>
      </c>
      <c r="B3" s="510"/>
      <c r="C3" s="510"/>
      <c r="D3" s="510"/>
      <c r="E3" s="167"/>
      <c r="F3" s="166" t="s">
        <v>85</v>
      </c>
      <c r="G3" s="164">
        <v>468</v>
      </c>
      <c r="H3" s="156"/>
      <c r="I3" s="511">
        <f>E3/G3</f>
        <v>0</v>
      </c>
      <c r="J3" s="512"/>
      <c r="K3" s="507" t="s">
        <v>95</v>
      </c>
      <c r="L3" s="508"/>
      <c r="M3" s="156"/>
      <c r="N3" s="156"/>
      <c r="O3" s="162"/>
    </row>
    <row r="4" spans="1:22" ht="6" customHeight="1" thickBot="1" x14ac:dyDescent="0.25">
      <c r="A4" s="535"/>
      <c r="B4" s="536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7"/>
    </row>
    <row r="5" spans="1:22" ht="15.75" customHeight="1" thickBot="1" x14ac:dyDescent="0.25">
      <c r="A5" s="530" t="s">
        <v>87</v>
      </c>
      <c r="B5" s="531"/>
      <c r="C5" s="531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1"/>
      <c r="O5" s="532"/>
      <c r="P5" s="160"/>
      <c r="U5" s="151" t="s">
        <v>180</v>
      </c>
    </row>
    <row r="6" spans="1:22" ht="26.25" customHeight="1" thickBot="1" x14ac:dyDescent="0.25">
      <c r="A6" s="509" t="s">
        <v>88</v>
      </c>
      <c r="B6" s="510"/>
      <c r="C6" s="510"/>
      <c r="D6" s="510"/>
      <c r="E6" s="516"/>
      <c r="F6" s="517"/>
      <c r="G6" s="518"/>
      <c r="H6" s="156"/>
      <c r="I6" s="156"/>
      <c r="J6" s="156"/>
      <c r="K6" s="156"/>
      <c r="L6" s="156"/>
      <c r="M6" s="156"/>
      <c r="N6" s="156"/>
      <c r="O6" s="162"/>
      <c r="R6" s="153"/>
      <c r="S6" s="154"/>
      <c r="T6" s="154"/>
      <c r="U6" s="153"/>
      <c r="V6" s="153"/>
    </row>
    <row r="7" spans="1:22" ht="26.25" customHeight="1" thickBot="1" x14ac:dyDescent="0.25">
      <c r="A7" s="509" t="s">
        <v>89</v>
      </c>
      <c r="B7" s="510"/>
      <c r="C7" s="510"/>
      <c r="D7" s="510"/>
      <c r="E7" s="516"/>
      <c r="F7" s="517"/>
      <c r="G7" s="518"/>
      <c r="H7" s="156"/>
      <c r="I7" s="525" t="e">
        <f>(E6-E7)/E6</f>
        <v>#DIV/0!</v>
      </c>
      <c r="J7" s="526"/>
      <c r="K7" s="156"/>
      <c r="L7" s="156"/>
      <c r="M7" s="156"/>
      <c r="N7" s="156"/>
      <c r="O7" s="162"/>
      <c r="P7" s="157"/>
      <c r="R7" s="153"/>
      <c r="S7" s="154"/>
      <c r="T7" s="154"/>
      <c r="U7" s="153"/>
      <c r="V7" s="153"/>
    </row>
    <row r="8" spans="1:22" ht="35.25" customHeight="1" x14ac:dyDescent="0.2">
      <c r="A8" s="519" t="s">
        <v>92</v>
      </c>
      <c r="B8" s="520"/>
      <c r="C8" s="520"/>
      <c r="D8" s="521"/>
      <c r="E8" s="173"/>
      <c r="F8" s="166" t="s">
        <v>85</v>
      </c>
      <c r="G8" s="173"/>
      <c r="H8" s="156"/>
      <c r="I8" s="510" t="s">
        <v>90</v>
      </c>
      <c r="J8" s="510"/>
      <c r="K8" s="510"/>
      <c r="L8" s="174"/>
      <c r="M8" s="168">
        <f>L8-E8</f>
        <v>0</v>
      </c>
      <c r="N8" s="161" t="s">
        <v>94</v>
      </c>
      <c r="O8" s="175"/>
      <c r="P8" s="155"/>
      <c r="R8" s="152"/>
      <c r="S8" s="155"/>
      <c r="T8" s="156"/>
      <c r="U8" s="153"/>
      <c r="V8" s="153"/>
    </row>
    <row r="9" spans="1:22" ht="35.25" customHeight="1" thickBot="1" x14ac:dyDescent="0.25">
      <c r="A9" s="522" t="s">
        <v>93</v>
      </c>
      <c r="B9" s="523"/>
      <c r="C9" s="523"/>
      <c r="D9" s="524"/>
      <c r="E9" s="173"/>
      <c r="F9" s="166" t="s">
        <v>85</v>
      </c>
      <c r="G9" s="173"/>
      <c r="H9" s="156"/>
      <c r="I9" s="510" t="s">
        <v>91</v>
      </c>
      <c r="J9" s="510"/>
      <c r="K9" s="510"/>
      <c r="L9" s="174"/>
      <c r="M9" s="169">
        <f>L9-E9</f>
        <v>0</v>
      </c>
      <c r="N9" s="161" t="s">
        <v>94</v>
      </c>
      <c r="O9" s="175"/>
      <c r="P9" s="158"/>
      <c r="R9" s="152"/>
      <c r="S9" s="155"/>
      <c r="T9" s="156"/>
      <c r="U9" s="153"/>
      <c r="V9" s="153"/>
    </row>
    <row r="10" spans="1:22" ht="30.75" customHeight="1" thickBot="1" x14ac:dyDescent="0.25">
      <c r="A10" s="163"/>
      <c r="B10" s="157"/>
      <c r="C10" s="157"/>
      <c r="D10" s="157"/>
      <c r="E10" s="157"/>
      <c r="F10" s="157"/>
      <c r="G10" s="156"/>
      <c r="H10" s="156"/>
      <c r="I10" s="510" t="s">
        <v>114</v>
      </c>
      <c r="J10" s="510"/>
      <c r="K10" s="510"/>
      <c r="L10" s="156"/>
      <c r="M10" s="170">
        <f>SUM(M8:M9)</f>
        <v>0</v>
      </c>
      <c r="N10" s="157"/>
      <c r="O10" s="162"/>
      <c r="P10" s="157"/>
      <c r="R10" s="153" t="s">
        <v>6</v>
      </c>
      <c r="S10" s="154"/>
      <c r="T10" s="154"/>
      <c r="U10" s="153"/>
      <c r="V10" s="153"/>
    </row>
    <row r="11" spans="1:22" ht="3.75" customHeight="1" thickBot="1" x14ac:dyDescent="0.25">
      <c r="A11" s="163"/>
      <c r="B11" s="157"/>
      <c r="C11" s="157"/>
      <c r="D11" s="157"/>
      <c r="E11" s="157"/>
      <c r="F11" s="157"/>
      <c r="G11" s="156"/>
      <c r="H11" s="156"/>
      <c r="I11" s="155"/>
      <c r="J11" s="155"/>
      <c r="K11" s="155"/>
      <c r="L11" s="156"/>
      <c r="M11" s="156"/>
      <c r="N11" s="156"/>
      <c r="O11" s="162"/>
      <c r="R11" s="153"/>
      <c r="S11" s="154"/>
      <c r="T11" s="154"/>
      <c r="U11" s="153"/>
      <c r="V11" s="153"/>
    </row>
    <row r="12" spans="1:22" ht="26.25" customHeight="1" thickBot="1" x14ac:dyDescent="0.25">
      <c r="A12" s="533" t="s">
        <v>96</v>
      </c>
      <c r="B12" s="534"/>
      <c r="C12" s="534"/>
      <c r="D12" s="534"/>
      <c r="E12" s="541"/>
      <c r="F12" s="542"/>
      <c r="G12" s="543"/>
      <c r="H12" s="157"/>
      <c r="I12" s="510" t="s">
        <v>97</v>
      </c>
      <c r="J12" s="510"/>
      <c r="K12" s="510"/>
      <c r="L12" s="544"/>
      <c r="M12" s="541"/>
      <c r="N12" s="542"/>
      <c r="O12" s="543"/>
      <c r="P12" s="158"/>
      <c r="Q12" s="157"/>
      <c r="R12" s="157"/>
      <c r="S12" s="157"/>
      <c r="T12" s="157"/>
    </row>
    <row r="13" spans="1:22" ht="26.25" customHeight="1" thickBot="1" x14ac:dyDescent="0.25">
      <c r="A13" s="533" t="s">
        <v>98</v>
      </c>
      <c r="B13" s="534"/>
      <c r="C13" s="534"/>
      <c r="D13" s="534"/>
      <c r="E13" s="538" t="s">
        <v>99</v>
      </c>
      <c r="F13" s="538"/>
      <c r="G13" s="538"/>
      <c r="H13" s="157"/>
      <c r="I13" s="540" t="s">
        <v>101</v>
      </c>
      <c r="J13" s="540"/>
      <c r="K13" s="540"/>
      <c r="L13" s="171"/>
      <c r="M13" s="538" t="s">
        <v>100</v>
      </c>
      <c r="N13" s="538"/>
      <c r="O13" s="539"/>
    </row>
    <row r="14" spans="1:22" ht="26.25" customHeight="1" thickBot="1" x14ac:dyDescent="0.25">
      <c r="A14" s="163"/>
      <c r="B14" s="157"/>
      <c r="C14" s="157"/>
      <c r="D14" s="157"/>
      <c r="E14" s="157"/>
      <c r="F14" s="172"/>
      <c r="G14" s="157"/>
      <c r="H14" s="157"/>
      <c r="I14" s="157"/>
      <c r="J14" s="172"/>
      <c r="K14" s="157"/>
      <c r="L14" s="157" t="s">
        <v>6</v>
      </c>
      <c r="M14" s="157"/>
      <c r="N14" s="172"/>
      <c r="O14" s="162" t="s">
        <v>6</v>
      </c>
    </row>
    <row r="15" spans="1:22" ht="3.75" customHeight="1" thickBot="1" x14ac:dyDescent="0.25">
      <c r="A15" s="163"/>
      <c r="B15" s="157"/>
      <c r="C15" s="157"/>
      <c r="D15" s="157"/>
      <c r="E15" s="157"/>
      <c r="F15" s="165"/>
      <c r="G15" s="157"/>
      <c r="H15" s="157"/>
      <c r="I15" s="157"/>
      <c r="J15" s="165"/>
      <c r="K15" s="157"/>
      <c r="L15" s="157"/>
      <c r="M15" s="157"/>
      <c r="N15" s="165"/>
      <c r="O15" s="162"/>
    </row>
    <row r="16" spans="1:22" ht="16.5" customHeight="1" x14ac:dyDescent="0.2">
      <c r="A16" s="513" t="s">
        <v>102</v>
      </c>
      <c r="B16" s="514"/>
      <c r="C16" s="514"/>
      <c r="D16" s="514"/>
      <c r="E16" s="514"/>
      <c r="F16" s="514"/>
      <c r="G16" s="514"/>
      <c r="H16" s="514"/>
      <c r="I16" s="514"/>
      <c r="J16" s="514"/>
      <c r="K16" s="514"/>
      <c r="L16" s="514"/>
      <c r="M16" s="514"/>
      <c r="N16" s="514"/>
      <c r="O16" s="515"/>
    </row>
    <row r="17" spans="1:15" ht="26.25" customHeight="1" x14ac:dyDescent="0.2">
      <c r="A17" s="550" t="s">
        <v>104</v>
      </c>
      <c r="B17" s="551"/>
      <c r="C17" s="551"/>
      <c r="D17" s="551"/>
      <c r="E17" s="552"/>
      <c r="F17" s="545"/>
      <c r="G17" s="546"/>
      <c r="H17" s="546"/>
      <c r="I17" s="546"/>
      <c r="J17" s="546"/>
      <c r="K17" s="546"/>
      <c r="L17" s="546"/>
      <c r="M17" s="546"/>
      <c r="N17" s="546"/>
      <c r="O17" s="547"/>
    </row>
    <row r="18" spans="1:15" ht="26.25" customHeight="1" x14ac:dyDescent="0.2">
      <c r="A18" s="550" t="s">
        <v>105</v>
      </c>
      <c r="B18" s="551"/>
      <c r="C18" s="551"/>
      <c r="D18" s="551"/>
      <c r="E18" s="552"/>
      <c r="F18" s="545"/>
      <c r="G18" s="546"/>
      <c r="H18" s="546"/>
      <c r="I18" s="546"/>
      <c r="J18" s="546"/>
      <c r="K18" s="546"/>
      <c r="L18" s="546"/>
      <c r="M18" s="546"/>
      <c r="N18" s="546"/>
      <c r="O18" s="547"/>
    </row>
    <row r="19" spans="1:15" ht="26.25" customHeight="1" x14ac:dyDescent="0.2">
      <c r="A19" s="550" t="s">
        <v>106</v>
      </c>
      <c r="B19" s="551"/>
      <c r="C19" s="551"/>
      <c r="D19" s="551"/>
      <c r="E19" s="552"/>
      <c r="F19" s="545"/>
      <c r="G19" s="546"/>
      <c r="H19" s="546"/>
      <c r="I19" s="546"/>
      <c r="J19" s="546"/>
      <c r="K19" s="546"/>
      <c r="L19" s="546"/>
      <c r="M19" s="546"/>
      <c r="N19" s="546"/>
      <c r="O19" s="547"/>
    </row>
    <row r="20" spans="1:15" ht="26.25" customHeight="1" x14ac:dyDescent="0.2">
      <c r="A20" s="550" t="s">
        <v>103</v>
      </c>
      <c r="B20" s="551"/>
      <c r="C20" s="551"/>
      <c r="D20" s="551"/>
      <c r="E20" s="552"/>
      <c r="F20" s="545"/>
      <c r="G20" s="546"/>
      <c r="H20" s="546"/>
      <c r="I20" s="546"/>
      <c r="J20" s="546"/>
      <c r="K20" s="546"/>
      <c r="L20" s="546"/>
      <c r="M20" s="546"/>
      <c r="N20" s="546"/>
      <c r="O20" s="547"/>
    </row>
    <row r="21" spans="1:15" ht="26.25" customHeight="1" x14ac:dyDescent="0.2">
      <c r="A21" s="553" t="s">
        <v>107</v>
      </c>
      <c r="B21" s="554"/>
      <c r="C21" s="554"/>
      <c r="D21" s="554"/>
      <c r="E21" s="555"/>
      <c r="F21" s="545"/>
      <c r="G21" s="546"/>
      <c r="H21" s="546"/>
      <c r="I21" s="546"/>
      <c r="J21" s="546"/>
      <c r="K21" s="546"/>
      <c r="L21" s="546"/>
      <c r="M21" s="546"/>
      <c r="N21" s="546"/>
      <c r="O21" s="547"/>
    </row>
    <row r="22" spans="1:15" ht="26.25" customHeight="1" thickBot="1" x14ac:dyDescent="0.25">
      <c r="A22" s="548" t="s">
        <v>115</v>
      </c>
      <c r="B22" s="549"/>
      <c r="C22" s="549"/>
      <c r="D22" s="549"/>
      <c r="E22" s="549"/>
      <c r="F22" s="556"/>
      <c r="G22" s="557"/>
      <c r="H22" s="557"/>
      <c r="I22" s="557"/>
      <c r="J22" s="557"/>
      <c r="K22" s="557"/>
      <c r="L22" s="557"/>
      <c r="M22" s="557"/>
      <c r="N22" s="557"/>
      <c r="O22" s="558"/>
    </row>
  </sheetData>
  <sheetProtection password="9D31" sheet="1" objects="1" scenarios="1"/>
  <mergeCells count="40">
    <mergeCell ref="F19:O19"/>
    <mergeCell ref="F20:O20"/>
    <mergeCell ref="A22:E22"/>
    <mergeCell ref="A17:E17"/>
    <mergeCell ref="A18:E18"/>
    <mergeCell ref="A19:E19"/>
    <mergeCell ref="A20:E20"/>
    <mergeCell ref="A21:E21"/>
    <mergeCell ref="F21:O21"/>
    <mergeCell ref="F22:O22"/>
    <mergeCell ref="F17:O17"/>
    <mergeCell ref="F18:O18"/>
    <mergeCell ref="A1:O1"/>
    <mergeCell ref="A5:O5"/>
    <mergeCell ref="A13:D13"/>
    <mergeCell ref="A4:O4"/>
    <mergeCell ref="E13:G13"/>
    <mergeCell ref="M13:O13"/>
    <mergeCell ref="I13:K13"/>
    <mergeCell ref="A12:D12"/>
    <mergeCell ref="E12:G12"/>
    <mergeCell ref="I12:L12"/>
    <mergeCell ref="M12:O12"/>
    <mergeCell ref="I10:K10"/>
    <mergeCell ref="A7:D7"/>
    <mergeCell ref="K2:L2"/>
    <mergeCell ref="I8:K8"/>
    <mergeCell ref="I9:K9"/>
    <mergeCell ref="A16:O16"/>
    <mergeCell ref="E6:G6"/>
    <mergeCell ref="E7:G7"/>
    <mergeCell ref="A8:D8"/>
    <mergeCell ref="A9:D9"/>
    <mergeCell ref="I7:J7"/>
    <mergeCell ref="K3:L3"/>
    <mergeCell ref="A2:D2"/>
    <mergeCell ref="A6:D6"/>
    <mergeCell ref="I2:J2"/>
    <mergeCell ref="A3:D3"/>
    <mergeCell ref="I3:J3"/>
  </mergeCells>
  <conditionalFormatting sqref="M8:M10">
    <cfRule type="cellIs" dxfId="135" priority="1" operator="greaterThanOrEqual">
      <formula>0</formula>
    </cfRule>
    <cfRule type="cellIs" dxfId="134" priority="2" operator="lessThan">
      <formula>0</formula>
    </cfRule>
  </conditionalFormatting>
  <pageMargins left="0.7" right="0.7" top="0.75" bottom="0.75" header="0.3" footer="0.3"/>
  <pageSetup paperSize="9" scale="65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60"/>
  <sheetViews>
    <sheetView showGridLines="0" zoomScaleNormal="100" workbookViewId="0">
      <selection activeCell="E3" sqref="E3"/>
    </sheetView>
  </sheetViews>
  <sheetFormatPr defaultColWidth="9.140625" defaultRowHeight="12" x14ac:dyDescent="0.2"/>
  <cols>
    <col min="1" max="1" width="12.5703125" style="3" customWidth="1"/>
    <col min="2" max="2" width="10" style="3" customWidth="1"/>
    <col min="3" max="3" width="9.140625" style="3" customWidth="1"/>
    <col min="4" max="4" width="10.5703125" style="3" customWidth="1"/>
    <col min="5" max="5" width="13.42578125" style="3" customWidth="1"/>
    <col min="6" max="6" width="10" style="3" customWidth="1"/>
    <col min="7" max="8" width="10.42578125" style="3" customWidth="1"/>
    <col min="9" max="9" width="11" style="3" customWidth="1"/>
    <col min="10" max="10" width="9.42578125" style="3" customWidth="1"/>
    <col min="11" max="11" width="8.5703125" style="8" customWidth="1"/>
    <col min="12" max="12" width="9" style="3" customWidth="1"/>
    <col min="13" max="13" width="1.42578125" style="3" customWidth="1"/>
    <col min="14" max="14" width="13" style="3" customWidth="1"/>
    <col min="15" max="15" width="11.42578125" style="3" customWidth="1"/>
    <col min="16" max="17" width="12.42578125" style="3" customWidth="1"/>
    <col min="18" max="18" width="10.85546875" style="3" customWidth="1"/>
    <col min="19" max="19" width="12.140625" style="3" customWidth="1"/>
    <col min="20" max="21" width="8" style="3" customWidth="1"/>
    <col min="22" max="16384" width="9.140625" style="3"/>
  </cols>
  <sheetData>
    <row r="1" spans="1:22" ht="21" customHeight="1" thickBot="1" x14ac:dyDescent="0.25">
      <c r="A1" s="413" t="s">
        <v>42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3"/>
      <c r="P1" s="603"/>
      <c r="Q1" s="603"/>
      <c r="R1" s="603"/>
      <c r="S1" s="603"/>
      <c r="T1" s="603"/>
      <c r="U1" s="604"/>
    </row>
    <row r="2" spans="1:22" s="8" customFormat="1" ht="8.25" customHeight="1" thickBot="1" x14ac:dyDescent="0.25">
      <c r="A2" s="641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642"/>
      <c r="S2" s="642"/>
      <c r="T2" s="642"/>
      <c r="U2" s="642"/>
    </row>
    <row r="3" spans="1:22" s="25" customFormat="1" ht="26.25" customHeight="1" thickBot="1" x14ac:dyDescent="0.25">
      <c r="A3" s="96" t="s">
        <v>0</v>
      </c>
      <c r="B3" s="243">
        <v>43862</v>
      </c>
      <c r="D3" s="291" t="s">
        <v>1</v>
      </c>
      <c r="E3" s="242" t="s">
        <v>208</v>
      </c>
      <c r="F3" s="3"/>
      <c r="G3" s="21"/>
      <c r="H3" s="97" t="s">
        <v>25</v>
      </c>
      <c r="I3" s="643"/>
      <c r="J3" s="644"/>
      <c r="K3" s="9"/>
      <c r="L3" s="97" t="s">
        <v>2</v>
      </c>
      <c r="M3" s="648">
        <v>0.35416666666666669</v>
      </c>
      <c r="N3" s="649"/>
      <c r="O3" s="22"/>
      <c r="P3" s="292" t="s">
        <v>51</v>
      </c>
      <c r="Q3" s="638"/>
      <c r="R3" s="639"/>
      <c r="S3" s="640"/>
      <c r="T3" s="22"/>
      <c r="U3" s="24"/>
    </row>
    <row r="4" spans="1:22" ht="16.5" customHeight="1" thickBot="1" x14ac:dyDescent="0.25">
      <c r="J4" s="9"/>
      <c r="K4" s="9"/>
      <c r="L4" s="9"/>
      <c r="M4" s="9"/>
      <c r="N4" s="9"/>
      <c r="O4" s="9"/>
      <c r="P4" s="9"/>
      <c r="Q4" s="9"/>
      <c r="R4" s="17"/>
      <c r="S4" s="17"/>
      <c r="T4" s="9"/>
      <c r="U4" s="5"/>
    </row>
    <row r="5" spans="1:22" ht="18" customHeight="1" thickBot="1" x14ac:dyDescent="0.25">
      <c r="A5" s="645" t="s">
        <v>5</v>
      </c>
      <c r="B5" s="646"/>
      <c r="C5" s="646"/>
      <c r="D5" s="646"/>
      <c r="E5" s="647"/>
      <c r="F5" s="5"/>
      <c r="G5" s="645" t="s">
        <v>7</v>
      </c>
      <c r="H5" s="646"/>
      <c r="I5" s="646"/>
      <c r="J5" s="647"/>
      <c r="K5" s="26"/>
      <c r="M5" s="645" t="s">
        <v>13</v>
      </c>
      <c r="N5" s="646"/>
      <c r="O5" s="646"/>
      <c r="P5" s="647"/>
      <c r="S5" s="220"/>
      <c r="T5" s="221"/>
      <c r="U5" s="222"/>
    </row>
    <row r="6" spans="1:22" ht="17.25" customHeight="1" x14ac:dyDescent="0.2">
      <c r="A6" s="650" t="s">
        <v>17</v>
      </c>
      <c r="B6" s="651"/>
      <c r="C6" s="651"/>
      <c r="D6" s="651"/>
      <c r="E6" s="27">
        <f>E32</f>
        <v>0</v>
      </c>
      <c r="F6" s="9"/>
      <c r="G6" s="650" t="s">
        <v>17</v>
      </c>
      <c r="H6" s="651"/>
      <c r="I6" s="651"/>
      <c r="J6" s="27">
        <v>0</v>
      </c>
      <c r="K6" s="17"/>
      <c r="M6" s="650" t="s">
        <v>17</v>
      </c>
      <c r="N6" s="651"/>
      <c r="O6" s="651"/>
      <c r="P6" s="27">
        <f t="shared" ref="P6:P13" si="0">E6+J6</f>
        <v>0</v>
      </c>
      <c r="R6" s="146" t="s">
        <v>6</v>
      </c>
      <c r="S6" s="17"/>
    </row>
    <row r="7" spans="1:22" ht="12" customHeight="1" x14ac:dyDescent="0.2">
      <c r="A7" s="652" t="s">
        <v>18</v>
      </c>
      <c r="B7" s="653"/>
      <c r="C7" s="653"/>
      <c r="D7" s="653"/>
      <c r="E7" s="112">
        <v>58</v>
      </c>
      <c r="F7" s="26"/>
      <c r="G7" s="15" t="s">
        <v>18</v>
      </c>
      <c r="H7" s="16"/>
      <c r="I7" s="16"/>
      <c r="J7" s="123">
        <v>23</v>
      </c>
      <c r="K7" s="17"/>
      <c r="M7" s="652" t="s">
        <v>14</v>
      </c>
      <c r="N7" s="653"/>
      <c r="O7" s="653"/>
      <c r="P7" s="28">
        <f t="shared" si="0"/>
        <v>81</v>
      </c>
      <c r="S7" s="9"/>
    </row>
    <row r="8" spans="1:22" ht="12" customHeight="1" x14ac:dyDescent="0.2">
      <c r="A8" s="652" t="s">
        <v>19</v>
      </c>
      <c r="B8" s="653"/>
      <c r="C8" s="653"/>
      <c r="D8" s="653"/>
      <c r="E8" s="29">
        <f>E6+E7</f>
        <v>58</v>
      </c>
      <c r="F8" s="26"/>
      <c r="G8" s="619" t="s">
        <v>19</v>
      </c>
      <c r="H8" s="620"/>
      <c r="I8" s="620"/>
      <c r="J8" s="29">
        <f>J6+J7</f>
        <v>23</v>
      </c>
      <c r="K8" s="17"/>
      <c r="M8" s="652" t="s">
        <v>19</v>
      </c>
      <c r="N8" s="653"/>
      <c r="O8" s="653"/>
      <c r="P8" s="29">
        <f t="shared" si="0"/>
        <v>81</v>
      </c>
      <c r="S8" s="9"/>
    </row>
    <row r="9" spans="1:22" ht="12" customHeight="1" x14ac:dyDescent="0.2">
      <c r="A9" s="654" t="s">
        <v>4</v>
      </c>
      <c r="B9" s="655"/>
      <c r="C9" s="655"/>
      <c r="D9" s="656"/>
      <c r="E9" s="111">
        <v>12</v>
      </c>
      <c r="F9" s="9"/>
      <c r="G9" s="657" t="s">
        <v>4</v>
      </c>
      <c r="H9" s="658"/>
      <c r="I9" s="659"/>
      <c r="J9" s="111">
        <v>5</v>
      </c>
      <c r="K9" s="17"/>
      <c r="M9" s="654" t="s">
        <v>4</v>
      </c>
      <c r="N9" s="655"/>
      <c r="O9" s="656"/>
      <c r="P9" s="10">
        <f t="shared" si="0"/>
        <v>17</v>
      </c>
      <c r="Q9" s="9"/>
      <c r="R9" s="9"/>
      <c r="S9" s="9"/>
      <c r="U9" s="2"/>
      <c r="V9" s="137" t="s">
        <v>6</v>
      </c>
    </row>
    <row r="10" spans="1:22" ht="12" customHeight="1" x14ac:dyDescent="0.2">
      <c r="A10" s="652" t="s">
        <v>3</v>
      </c>
      <c r="B10" s="653"/>
      <c r="C10" s="653"/>
      <c r="D10" s="653"/>
      <c r="E10" s="30">
        <f>E8-E9</f>
        <v>46</v>
      </c>
      <c r="F10" s="9"/>
      <c r="G10" s="619" t="s">
        <v>3</v>
      </c>
      <c r="H10" s="620"/>
      <c r="I10" s="620"/>
      <c r="J10" s="30">
        <f>J8-J9</f>
        <v>18</v>
      </c>
      <c r="K10" s="17"/>
      <c r="M10" s="652" t="s">
        <v>3</v>
      </c>
      <c r="N10" s="653"/>
      <c r="O10" s="653"/>
      <c r="P10" s="30">
        <f t="shared" si="0"/>
        <v>64</v>
      </c>
      <c r="Q10" s="9"/>
      <c r="R10" s="9"/>
      <c r="S10" s="200" t="s">
        <v>6</v>
      </c>
      <c r="U10" s="2"/>
    </row>
    <row r="11" spans="1:22" ht="12.75" x14ac:dyDescent="0.2">
      <c r="A11" s="654" t="s">
        <v>8</v>
      </c>
      <c r="B11" s="655"/>
      <c r="C11" s="655"/>
      <c r="D11" s="656"/>
      <c r="E11" s="31">
        <f>D32</f>
        <v>0</v>
      </c>
      <c r="F11" s="9"/>
      <c r="G11" s="657" t="s">
        <v>8</v>
      </c>
      <c r="H11" s="658"/>
      <c r="I11" s="659"/>
      <c r="J11" s="31">
        <f>SUM(D34:D35,D38:D40,D44:D45,D37)</f>
        <v>0</v>
      </c>
      <c r="K11" s="17"/>
      <c r="M11" s="652" t="s">
        <v>8</v>
      </c>
      <c r="N11" s="653"/>
      <c r="O11" s="653"/>
      <c r="P11" s="31">
        <f t="shared" si="0"/>
        <v>0</v>
      </c>
      <c r="Q11" s="19" t="s">
        <v>6</v>
      </c>
      <c r="R11" s="19"/>
      <c r="S11" s="18"/>
      <c r="U11" s="2"/>
    </row>
    <row r="12" spans="1:22" ht="12.75" x14ac:dyDescent="0.2">
      <c r="A12" s="619" t="s">
        <v>26</v>
      </c>
      <c r="B12" s="620"/>
      <c r="C12" s="620"/>
      <c r="D12" s="620"/>
      <c r="E12" s="32">
        <f>F32</f>
        <v>10</v>
      </c>
      <c r="F12" s="4"/>
      <c r="G12" s="619" t="s">
        <v>26</v>
      </c>
      <c r="H12" s="620"/>
      <c r="I12" s="620"/>
      <c r="J12" s="32">
        <f>SUM(F34:F35,F38:F40,F44:F45,F37)</f>
        <v>0</v>
      </c>
      <c r="K12" s="17"/>
      <c r="M12" s="619" t="s">
        <v>26</v>
      </c>
      <c r="N12" s="620"/>
      <c r="O12" s="620"/>
      <c r="P12" s="32">
        <f t="shared" si="0"/>
        <v>10</v>
      </c>
      <c r="Q12" s="19"/>
      <c r="R12" s="19"/>
      <c r="S12" s="18"/>
      <c r="U12" s="2"/>
    </row>
    <row r="13" spans="1:22" ht="12.75" thickBot="1" x14ac:dyDescent="0.25">
      <c r="A13" s="621" t="s">
        <v>12</v>
      </c>
      <c r="B13" s="622"/>
      <c r="C13" s="622"/>
      <c r="D13" s="622"/>
      <c r="E13" s="33">
        <f>(E11+E12)-E10</f>
        <v>-36</v>
      </c>
      <c r="F13" s="4"/>
      <c r="G13" s="621" t="s">
        <v>12</v>
      </c>
      <c r="H13" s="622"/>
      <c r="I13" s="622"/>
      <c r="J13" s="33">
        <f>(J11+J12)-J10</f>
        <v>-18</v>
      </c>
      <c r="K13" s="17"/>
      <c r="M13" s="621" t="s">
        <v>12</v>
      </c>
      <c r="N13" s="622"/>
      <c r="O13" s="622"/>
      <c r="P13" s="33">
        <f t="shared" si="0"/>
        <v>-54</v>
      </c>
      <c r="Q13" s="19"/>
      <c r="R13" s="19"/>
      <c r="S13" s="9"/>
    </row>
    <row r="14" spans="1:22" ht="3" customHeight="1" x14ac:dyDescent="0.2">
      <c r="K14" s="4"/>
      <c r="Q14" s="9"/>
      <c r="R14" s="9"/>
      <c r="S14" s="9"/>
    </row>
    <row r="15" spans="1:22" ht="3" customHeight="1" thickBot="1" x14ac:dyDescent="0.25">
      <c r="K15" s="4"/>
      <c r="L15" s="5"/>
      <c r="O15" s="2"/>
    </row>
    <row r="16" spans="1:22" ht="13.5" customHeight="1" thickBot="1" x14ac:dyDescent="0.25">
      <c r="A16" s="413" t="s">
        <v>32</v>
      </c>
      <c r="B16" s="618"/>
      <c r="C16" s="618"/>
      <c r="D16" s="618"/>
      <c r="E16" s="618"/>
      <c r="F16" s="618"/>
      <c r="G16" s="618"/>
      <c r="H16" s="618"/>
      <c r="I16" s="618"/>
      <c r="J16" s="618"/>
      <c r="K16" s="618"/>
      <c r="L16" s="414"/>
      <c r="M16" s="37"/>
      <c r="N16" s="413" t="s">
        <v>43</v>
      </c>
      <c r="O16" s="603"/>
      <c r="P16" s="603"/>
      <c r="Q16" s="603"/>
      <c r="R16" s="603"/>
      <c r="S16" s="603"/>
      <c r="T16" s="603"/>
      <c r="U16" s="603"/>
      <c r="V16" s="604"/>
    </row>
    <row r="17" spans="1:26" ht="69.75" customHeight="1" thickBot="1" x14ac:dyDescent="0.25">
      <c r="A17" s="53" t="s">
        <v>9</v>
      </c>
      <c r="B17" s="236" t="s">
        <v>127</v>
      </c>
      <c r="C17" s="237" t="s">
        <v>130</v>
      </c>
      <c r="D17" s="54" t="s">
        <v>31</v>
      </c>
      <c r="E17" s="48" t="s">
        <v>121</v>
      </c>
      <c r="F17" s="54" t="s">
        <v>112</v>
      </c>
      <c r="G17" s="48" t="s">
        <v>23</v>
      </c>
      <c r="H17" s="38" t="s">
        <v>24</v>
      </c>
      <c r="I17" s="48" t="s">
        <v>80</v>
      </c>
      <c r="J17" s="55" t="s">
        <v>78</v>
      </c>
      <c r="K17" s="145" t="s">
        <v>79</v>
      </c>
      <c r="L17" s="88" t="s">
        <v>45</v>
      </c>
      <c r="M17" s="1"/>
      <c r="N17" s="41" t="s">
        <v>37</v>
      </c>
      <c r="O17" s="41" t="s">
        <v>38</v>
      </c>
      <c r="P17" s="41" t="s">
        <v>39</v>
      </c>
      <c r="Q17" s="47" t="s">
        <v>46</v>
      </c>
      <c r="R17" s="48" t="s">
        <v>40</v>
      </c>
      <c r="S17" s="48" t="s">
        <v>41</v>
      </c>
      <c r="T17" s="55" t="s">
        <v>78</v>
      </c>
      <c r="U17" s="145" t="s">
        <v>79</v>
      </c>
      <c r="V17" s="43" t="s">
        <v>45</v>
      </c>
    </row>
    <row r="18" spans="1:26" ht="13.5" customHeight="1" x14ac:dyDescent="0.2">
      <c r="A18" s="282" t="s">
        <v>10</v>
      </c>
      <c r="B18" s="315"/>
      <c r="C18" s="322"/>
      <c r="D18" s="208"/>
      <c r="E18" s="147"/>
      <c r="F18" s="375">
        <v>10</v>
      </c>
      <c r="G18" s="98"/>
      <c r="H18" s="274">
        <f>F18-('Sitrep 1700'!B18+E18-D18)</f>
        <v>-12</v>
      </c>
      <c r="I18" s="98"/>
      <c r="J18" s="101"/>
      <c r="K18" s="101"/>
      <c r="L18" s="140"/>
      <c r="M18" s="9"/>
      <c r="N18" s="626"/>
      <c r="O18" s="634"/>
      <c r="P18" s="637"/>
      <c r="Q18" s="626"/>
      <c r="R18" s="628"/>
      <c r="S18" s="628"/>
      <c r="T18" s="631"/>
      <c r="U18" s="623"/>
      <c r="V18" s="623"/>
    </row>
    <row r="19" spans="1:26" x14ac:dyDescent="0.2">
      <c r="A19" s="283">
        <v>13</v>
      </c>
      <c r="B19" s="316"/>
      <c r="C19" s="323"/>
      <c r="D19" s="209"/>
      <c r="E19" s="99"/>
      <c r="F19" s="99"/>
      <c r="G19" s="99"/>
      <c r="H19" s="273">
        <f>F19-('Sitrep 1700'!B19+E19-D19)</f>
        <v>-5</v>
      </c>
      <c r="I19" s="99"/>
      <c r="J19" s="102"/>
      <c r="K19" s="102"/>
      <c r="L19" s="183"/>
      <c r="M19" s="9"/>
      <c r="N19" s="627"/>
      <c r="O19" s="635"/>
      <c r="P19" s="627"/>
      <c r="Q19" s="627"/>
      <c r="R19" s="629"/>
      <c r="S19" s="629"/>
      <c r="T19" s="632"/>
      <c r="U19" s="624"/>
      <c r="V19" s="624"/>
    </row>
    <row r="20" spans="1:26" ht="12.75" thickBot="1" x14ac:dyDescent="0.25">
      <c r="A20" s="283">
        <v>9</v>
      </c>
      <c r="B20" s="316"/>
      <c r="C20" s="323"/>
      <c r="D20" s="229"/>
      <c r="E20" s="230"/>
      <c r="F20" s="230"/>
      <c r="G20" s="230"/>
      <c r="H20" s="273">
        <f>F20-('Sitrep 1700'!B20+E20-D20)</f>
        <v>-1</v>
      </c>
      <c r="I20" s="230"/>
      <c r="J20" s="231"/>
      <c r="K20" s="231"/>
      <c r="L20" s="233"/>
      <c r="M20" s="9"/>
      <c r="N20" s="456"/>
      <c r="O20" s="636"/>
      <c r="P20" s="456"/>
      <c r="Q20" s="456"/>
      <c r="R20" s="630"/>
      <c r="S20" s="630"/>
      <c r="T20" s="633"/>
      <c r="U20" s="625"/>
      <c r="V20" s="625"/>
    </row>
    <row r="21" spans="1:26" ht="13.5" thickBot="1" x14ac:dyDescent="0.25">
      <c r="A21" s="283">
        <v>22</v>
      </c>
      <c r="B21" s="316"/>
      <c r="C21" s="323"/>
      <c r="D21" s="209"/>
      <c r="E21" s="99"/>
      <c r="F21" s="99"/>
      <c r="G21" s="99"/>
      <c r="H21" s="273">
        <f>F21-('Sitrep 1700'!B21+E21-D21)</f>
        <v>-3</v>
      </c>
      <c r="I21" s="99"/>
      <c r="J21" s="102"/>
      <c r="K21" s="102"/>
      <c r="L21" s="233"/>
      <c r="M21" s="9"/>
      <c r="N21" s="413" t="s">
        <v>36</v>
      </c>
      <c r="O21" s="603"/>
      <c r="P21" s="603"/>
      <c r="Q21" s="603"/>
      <c r="R21" s="603"/>
      <c r="S21" s="603"/>
      <c r="T21" s="603"/>
      <c r="U21" s="603"/>
      <c r="V21" s="604"/>
    </row>
    <row r="22" spans="1:26" ht="12" customHeight="1" x14ac:dyDescent="0.2">
      <c r="A22" s="283" t="s">
        <v>21</v>
      </c>
      <c r="B22" s="316"/>
      <c r="C22" s="323"/>
      <c r="D22" s="209"/>
      <c r="E22" s="99"/>
      <c r="F22" s="99"/>
      <c r="G22" s="99"/>
      <c r="H22" s="273">
        <f>F22-('Sitrep 1700'!B22+E22-D22)</f>
        <v>-10</v>
      </c>
      <c r="I22" s="99"/>
      <c r="J22" s="102"/>
      <c r="K22" s="102"/>
      <c r="L22" s="233"/>
      <c r="M22" s="9"/>
      <c r="N22" s="408" t="s">
        <v>36</v>
      </c>
      <c r="O22" s="408" t="s">
        <v>31</v>
      </c>
      <c r="P22" s="408" t="s">
        <v>44</v>
      </c>
      <c r="Q22" s="408" t="s">
        <v>34</v>
      </c>
      <c r="R22" s="408" t="s">
        <v>35</v>
      </c>
      <c r="S22" s="406" t="s">
        <v>24</v>
      </c>
      <c r="T22" s="606" t="s">
        <v>78</v>
      </c>
      <c r="U22" s="596" t="s">
        <v>79</v>
      </c>
      <c r="V22" s="406" t="s">
        <v>45</v>
      </c>
    </row>
    <row r="23" spans="1:26" ht="12" customHeight="1" x14ac:dyDescent="0.2">
      <c r="A23" s="283">
        <v>32</v>
      </c>
      <c r="B23" s="316"/>
      <c r="C23" s="323"/>
      <c r="D23" s="209"/>
      <c r="E23" s="99"/>
      <c r="F23" s="99"/>
      <c r="G23" s="99"/>
      <c r="H23" s="273">
        <f>F23-('Sitrep 1700'!B23+E23-D23)</f>
        <v>-3</v>
      </c>
      <c r="I23" s="99"/>
      <c r="J23" s="102"/>
      <c r="K23" s="102"/>
      <c r="L23" s="233"/>
      <c r="M23" s="9"/>
      <c r="N23" s="598"/>
      <c r="O23" s="598"/>
      <c r="P23" s="598"/>
      <c r="Q23" s="598"/>
      <c r="R23" s="598"/>
      <c r="S23" s="407"/>
      <c r="T23" s="607"/>
      <c r="U23" s="597"/>
      <c r="V23" s="605"/>
    </row>
    <row r="24" spans="1:26" ht="12" customHeight="1" thickBot="1" x14ac:dyDescent="0.25">
      <c r="A24" s="283">
        <v>33</v>
      </c>
      <c r="B24" s="316"/>
      <c r="C24" s="323"/>
      <c r="D24" s="229"/>
      <c r="E24" s="230"/>
      <c r="F24" s="230"/>
      <c r="G24" s="230"/>
      <c r="H24" s="273">
        <f>F24-('Sitrep 1700'!B24+E24-D24)</f>
        <v>-1</v>
      </c>
      <c r="I24" s="230"/>
      <c r="J24" s="231"/>
      <c r="K24" s="231"/>
      <c r="L24" s="233"/>
      <c r="M24" s="9"/>
      <c r="N24" s="598"/>
      <c r="O24" s="598"/>
      <c r="P24" s="598"/>
      <c r="Q24" s="598"/>
      <c r="R24" s="598"/>
      <c r="S24" s="407"/>
      <c r="T24" s="607"/>
      <c r="U24" s="597"/>
      <c r="V24" s="605"/>
    </row>
    <row r="25" spans="1:26" x14ac:dyDescent="0.2">
      <c r="A25" s="283">
        <v>34</v>
      </c>
      <c r="B25" s="316"/>
      <c r="C25" s="323"/>
      <c r="D25" s="209"/>
      <c r="E25" s="99"/>
      <c r="F25" s="99"/>
      <c r="G25" s="99"/>
      <c r="H25" s="273">
        <f>F25-('Sitrep 1700'!B25+E25-D25)</f>
        <v>-3</v>
      </c>
      <c r="I25" s="99"/>
      <c r="J25" s="102"/>
      <c r="K25" s="102"/>
      <c r="L25" s="233"/>
      <c r="M25" s="9"/>
      <c r="N25" s="92" t="s">
        <v>84</v>
      </c>
      <c r="O25" s="108"/>
      <c r="P25" s="101"/>
      <c r="Q25" s="101"/>
      <c r="R25" s="101"/>
      <c r="S25" s="36">
        <f>(O25+R25)-Q25</f>
        <v>0</v>
      </c>
      <c r="T25" s="101"/>
      <c r="U25" s="101"/>
      <c r="V25" s="106"/>
    </row>
    <row r="26" spans="1:26" ht="12" customHeight="1" x14ac:dyDescent="0.2">
      <c r="A26" s="283">
        <v>41</v>
      </c>
      <c r="B26" s="316"/>
      <c r="C26" s="323"/>
      <c r="D26" s="209"/>
      <c r="E26" s="99"/>
      <c r="F26" s="99"/>
      <c r="G26" s="99"/>
      <c r="H26" s="273">
        <f>F26-('Sitrep 1700'!B26+E26-D26)</f>
        <v>-3</v>
      </c>
      <c r="I26" s="99"/>
      <c r="J26" s="102"/>
      <c r="K26" s="102"/>
      <c r="L26" s="233"/>
      <c r="M26" s="9"/>
      <c r="N26" s="93" t="s">
        <v>30</v>
      </c>
      <c r="O26" s="109"/>
      <c r="P26" s="102"/>
      <c r="Q26" s="102"/>
      <c r="R26" s="102"/>
      <c r="S26" s="86">
        <f>(O26+R26)-Q26</f>
        <v>0</v>
      </c>
      <c r="T26" s="102"/>
      <c r="U26" s="102"/>
      <c r="V26" s="182"/>
      <c r="Z26" s="139" t="s">
        <v>6</v>
      </c>
    </row>
    <row r="27" spans="1:26" ht="12" customHeight="1" x14ac:dyDescent="0.2">
      <c r="A27" s="283">
        <v>42</v>
      </c>
      <c r="B27" s="316"/>
      <c r="C27" s="323"/>
      <c r="D27" s="209"/>
      <c r="E27" s="99"/>
      <c r="F27" s="99"/>
      <c r="G27" s="99"/>
      <c r="H27" s="273">
        <f>F27-('Sitrep 1700'!B27+E27-D27)</f>
        <v>-3</v>
      </c>
      <c r="I27" s="99"/>
      <c r="J27" s="102"/>
      <c r="K27" s="102"/>
      <c r="L27" s="233"/>
      <c r="M27" s="9"/>
      <c r="N27" s="93" t="s">
        <v>29</v>
      </c>
      <c r="O27" s="109"/>
      <c r="P27" s="102"/>
      <c r="Q27" s="102"/>
      <c r="R27" s="102"/>
      <c r="S27" s="86">
        <f t="shared" ref="S27:S29" si="1">(O27+R27)-Q27</f>
        <v>0</v>
      </c>
      <c r="T27" s="102"/>
      <c r="U27" s="102"/>
      <c r="V27" s="182"/>
    </row>
    <row r="28" spans="1:26" ht="12.75" customHeight="1" x14ac:dyDescent="0.2">
      <c r="A28" s="283">
        <v>43</v>
      </c>
      <c r="B28" s="316"/>
      <c r="C28" s="323"/>
      <c r="D28" s="209"/>
      <c r="E28" s="99"/>
      <c r="F28" s="99"/>
      <c r="G28" s="99"/>
      <c r="H28" s="273">
        <f>F28-('Sitrep 1700'!B28+E28-D28)</f>
        <v>-5</v>
      </c>
      <c r="I28" s="99"/>
      <c r="J28" s="102"/>
      <c r="K28" s="102"/>
      <c r="L28" s="233"/>
      <c r="M28" s="9"/>
      <c r="N28" s="93" t="s">
        <v>27</v>
      </c>
      <c r="O28" s="109"/>
      <c r="P28" s="102"/>
      <c r="Q28" s="102"/>
      <c r="R28" s="102"/>
      <c r="S28" s="86">
        <f t="shared" si="1"/>
        <v>0</v>
      </c>
      <c r="T28" s="102"/>
      <c r="U28" s="102"/>
      <c r="V28" s="182"/>
    </row>
    <row r="29" spans="1:26" ht="12.75" thickBot="1" x14ac:dyDescent="0.25">
      <c r="A29" s="283">
        <v>44</v>
      </c>
      <c r="B29" s="316"/>
      <c r="C29" s="323"/>
      <c r="D29" s="209"/>
      <c r="E29" s="99"/>
      <c r="F29" s="99"/>
      <c r="G29" s="99"/>
      <c r="H29" s="273">
        <f>F29-('Sitrep 1700'!B29+E29-D29)</f>
        <v>-5</v>
      </c>
      <c r="I29" s="99"/>
      <c r="J29" s="102"/>
      <c r="K29" s="102"/>
      <c r="L29" s="233"/>
      <c r="M29" s="9"/>
      <c r="N29" s="94" t="s">
        <v>28</v>
      </c>
      <c r="O29" s="110"/>
      <c r="P29" s="103"/>
      <c r="Q29" s="103"/>
      <c r="R29" s="103"/>
      <c r="S29" s="84">
        <f t="shared" si="1"/>
        <v>0</v>
      </c>
      <c r="T29" s="103"/>
      <c r="U29" s="100"/>
      <c r="V29" s="107"/>
    </row>
    <row r="30" spans="1:26" ht="12.75" thickBot="1" x14ac:dyDescent="0.25">
      <c r="A30" s="284">
        <v>51</v>
      </c>
      <c r="B30" s="317"/>
      <c r="C30" s="324"/>
      <c r="D30" s="210"/>
      <c r="E30" s="126"/>
      <c r="F30" s="126"/>
      <c r="G30" s="126"/>
      <c r="H30" s="273">
        <f>F30-('Sitrep 1700'!B30+E30-D30)</f>
        <v>-3</v>
      </c>
      <c r="I30" s="126"/>
      <c r="J30" s="128"/>
      <c r="K30" s="128"/>
      <c r="L30" s="233"/>
      <c r="M30" s="9"/>
      <c r="U30" s="2"/>
    </row>
    <row r="31" spans="1:26" ht="12.75" customHeight="1" thickBot="1" x14ac:dyDescent="0.25">
      <c r="A31" s="284">
        <v>54</v>
      </c>
      <c r="B31" s="317"/>
      <c r="C31" s="324"/>
      <c r="D31" s="210"/>
      <c r="E31" s="126"/>
      <c r="F31" s="126"/>
      <c r="G31" s="126"/>
      <c r="H31" s="127">
        <f>F31-('Sitrep 1700'!B31+E31-D31)</f>
        <v>-1</v>
      </c>
      <c r="I31" s="126"/>
      <c r="J31" s="128"/>
      <c r="K31" s="128"/>
      <c r="L31" s="135"/>
      <c r="M31" s="1"/>
      <c r="N31" s="1"/>
      <c r="O31" s="474" t="s">
        <v>69</v>
      </c>
      <c r="P31" s="608"/>
      <c r="Q31" s="608"/>
      <c r="R31" s="608"/>
      <c r="S31" s="608"/>
      <c r="T31" s="608"/>
      <c r="U31" s="609"/>
    </row>
    <row r="32" spans="1:26" ht="12" customHeight="1" thickBot="1" x14ac:dyDescent="0.25">
      <c r="A32" s="130" t="s">
        <v>22</v>
      </c>
      <c r="B32" s="131">
        <f>SUM(B18:B31)</f>
        <v>0</v>
      </c>
      <c r="C32" s="132">
        <f>SUM(C18:C30)</f>
        <v>0</v>
      </c>
      <c r="D32" s="132">
        <f>SUM(D18:D31)</f>
        <v>0</v>
      </c>
      <c r="E32" s="132">
        <f>SUM(E18:E31)</f>
        <v>0</v>
      </c>
      <c r="F32" s="132">
        <f>SUM(F18:F31)</f>
        <v>10</v>
      </c>
      <c r="G32" s="132">
        <f>SUM(G18:G31)</f>
        <v>0</v>
      </c>
      <c r="H32" s="132">
        <f>SUM(H18:H31)</f>
        <v>-58</v>
      </c>
      <c r="I32" s="132">
        <f>SUM(I18:I30)</f>
        <v>0</v>
      </c>
      <c r="J32" s="132">
        <f>SUM(J18:J30)</f>
        <v>0</v>
      </c>
      <c r="K32" s="132">
        <f>SUM(K18:K30)</f>
        <v>0</v>
      </c>
      <c r="L32" s="312"/>
      <c r="M32" s="9"/>
      <c r="N32" s="46"/>
      <c r="O32" s="408" t="s">
        <v>9</v>
      </c>
      <c r="P32" s="600" t="s">
        <v>15</v>
      </c>
      <c r="Q32" s="601"/>
      <c r="R32" s="614" t="s">
        <v>33</v>
      </c>
      <c r="S32" s="615"/>
      <c r="T32" s="610" t="s">
        <v>127</v>
      </c>
      <c r="U32" s="612" t="s">
        <v>130</v>
      </c>
    </row>
    <row r="33" spans="1:22" ht="12.75" thickBot="1" x14ac:dyDescent="0.25">
      <c r="A33" s="42"/>
      <c r="B33" s="5"/>
      <c r="C33" s="129"/>
      <c r="D33" s="9"/>
      <c r="E33" s="9"/>
      <c r="F33" s="6"/>
      <c r="G33" s="9"/>
      <c r="H33" s="11"/>
      <c r="I33" s="11"/>
      <c r="J33" s="5"/>
      <c r="K33" s="5"/>
      <c r="L33" s="9"/>
      <c r="M33" s="9"/>
      <c r="N33" s="46"/>
      <c r="O33" s="599"/>
      <c r="P33" s="602"/>
      <c r="Q33" s="602"/>
      <c r="R33" s="616"/>
      <c r="S33" s="617"/>
      <c r="T33" s="611"/>
      <c r="U33" s="613"/>
    </row>
    <row r="34" spans="1:22" ht="12.75" x14ac:dyDescent="0.2">
      <c r="A34" s="282" t="s">
        <v>11</v>
      </c>
      <c r="B34" s="315"/>
      <c r="C34" s="322"/>
      <c r="D34" s="208"/>
      <c r="E34" s="147"/>
      <c r="F34" s="184"/>
      <c r="G34" s="184"/>
      <c r="H34" s="274"/>
      <c r="I34" s="184"/>
      <c r="J34" s="141"/>
      <c r="K34" s="104"/>
      <c r="L34" s="105"/>
      <c r="M34" s="9"/>
      <c r="O34" s="108" t="s">
        <v>182</v>
      </c>
      <c r="P34" s="560">
        <v>10</v>
      </c>
      <c r="Q34" s="560"/>
      <c r="R34" s="445"/>
      <c r="S34" s="583"/>
      <c r="T34" s="319"/>
      <c r="U34" s="326"/>
      <c r="V34" s="2"/>
    </row>
    <row r="35" spans="1:22" ht="12.75" x14ac:dyDescent="0.2">
      <c r="A35" s="283" t="s">
        <v>16</v>
      </c>
      <c r="B35" s="316"/>
      <c r="C35" s="323"/>
      <c r="D35" s="209"/>
      <c r="E35" s="185"/>
      <c r="F35" s="185"/>
      <c r="G35" s="185"/>
      <c r="H35" s="273"/>
      <c r="I35" s="185"/>
      <c r="J35" s="186"/>
      <c r="K35" s="186"/>
      <c r="L35" s="188"/>
      <c r="M35" s="9"/>
      <c r="O35" s="109">
        <v>13</v>
      </c>
      <c r="P35" s="586">
        <v>12</v>
      </c>
      <c r="Q35" s="586"/>
      <c r="R35" s="423"/>
      <c r="S35" s="584"/>
      <c r="T35" s="320"/>
      <c r="U35" s="327"/>
      <c r="V35" s="2"/>
    </row>
    <row r="36" spans="1:22" ht="12.75" x14ac:dyDescent="0.2">
      <c r="A36" s="284">
        <v>10</v>
      </c>
      <c r="B36" s="317"/>
      <c r="C36" s="324"/>
      <c r="D36" s="210"/>
      <c r="E36" s="126"/>
      <c r="F36" s="126"/>
      <c r="G36" s="126"/>
      <c r="H36" s="273"/>
      <c r="I36" s="126"/>
      <c r="J36" s="128"/>
      <c r="K36" s="128"/>
      <c r="L36" s="135"/>
      <c r="M36" s="9"/>
      <c r="O36" s="109">
        <v>4</v>
      </c>
      <c r="P36" s="586">
        <v>0</v>
      </c>
      <c r="Q36" s="587"/>
      <c r="R36" s="423"/>
      <c r="S36" s="584"/>
      <c r="T36" s="320"/>
      <c r="U36" s="327"/>
      <c r="V36" s="2"/>
    </row>
    <row r="37" spans="1:22" ht="12.75" x14ac:dyDescent="0.2">
      <c r="A37" s="283">
        <v>9</v>
      </c>
      <c r="B37" s="316"/>
      <c r="C37" s="323"/>
      <c r="D37" s="209"/>
      <c r="E37" s="185"/>
      <c r="F37" s="185"/>
      <c r="G37" s="185"/>
      <c r="H37" s="273"/>
      <c r="I37" s="185"/>
      <c r="J37" s="186"/>
      <c r="K37" s="186"/>
      <c r="L37" s="188"/>
      <c r="M37" s="9"/>
      <c r="O37" s="109"/>
      <c r="P37" s="586">
        <v>0</v>
      </c>
      <c r="Q37" s="586"/>
      <c r="R37" s="423"/>
      <c r="S37" s="584"/>
      <c r="T37" s="320"/>
      <c r="U37" s="327"/>
      <c r="V37" s="2"/>
    </row>
    <row r="38" spans="1:22" ht="13.5" customHeight="1" x14ac:dyDescent="0.2">
      <c r="A38" s="285">
        <v>52</v>
      </c>
      <c r="B38" s="318"/>
      <c r="C38" s="325"/>
      <c r="D38" s="113"/>
      <c r="E38" s="194"/>
      <c r="F38" s="194"/>
      <c r="G38" s="194"/>
      <c r="H38" s="273"/>
      <c r="I38" s="194"/>
      <c r="J38" s="195"/>
      <c r="K38" s="195"/>
      <c r="L38" s="196"/>
      <c r="M38" s="9"/>
      <c r="O38" s="109"/>
      <c r="P38" s="586">
        <v>0</v>
      </c>
      <c r="Q38" s="586"/>
      <c r="R38" s="423"/>
      <c r="S38" s="443"/>
      <c r="T38" s="320"/>
      <c r="U38" s="327"/>
      <c r="V38" s="2"/>
    </row>
    <row r="39" spans="1:22" ht="13.5" customHeight="1" x14ac:dyDescent="0.2">
      <c r="A39" s="283">
        <v>53</v>
      </c>
      <c r="B39" s="316"/>
      <c r="C39" s="323"/>
      <c r="D39" s="209"/>
      <c r="E39" s="185"/>
      <c r="F39" s="185"/>
      <c r="G39" s="185"/>
      <c r="H39" s="273"/>
      <c r="I39" s="185"/>
      <c r="J39" s="186"/>
      <c r="K39" s="186"/>
      <c r="L39" s="188"/>
      <c r="M39" s="9"/>
      <c r="O39" s="109"/>
      <c r="P39" s="586">
        <v>0</v>
      </c>
      <c r="Q39" s="586"/>
      <c r="R39" s="423"/>
      <c r="S39" s="443"/>
      <c r="T39" s="320"/>
      <c r="U39" s="327"/>
      <c r="V39" s="2"/>
    </row>
    <row r="40" spans="1:22" ht="13.5" thickBot="1" x14ac:dyDescent="0.25">
      <c r="A40" s="284">
        <v>54</v>
      </c>
      <c r="B40" s="317"/>
      <c r="C40" s="324"/>
      <c r="D40" s="210"/>
      <c r="E40" s="126"/>
      <c r="F40" s="126"/>
      <c r="G40" s="126"/>
      <c r="H40" s="273"/>
      <c r="I40" s="126"/>
      <c r="J40" s="128"/>
      <c r="K40" s="128"/>
      <c r="L40" s="135"/>
      <c r="M40" s="9"/>
      <c r="O40" s="219"/>
      <c r="P40" s="492">
        <v>0</v>
      </c>
      <c r="Q40" s="492"/>
      <c r="R40" s="421"/>
      <c r="S40" s="585"/>
      <c r="T40" s="321"/>
      <c r="U40" s="328"/>
      <c r="V40" s="2"/>
    </row>
    <row r="41" spans="1:22" ht="12.75" thickBot="1" x14ac:dyDescent="0.25">
      <c r="A41" s="284" t="s">
        <v>71</v>
      </c>
      <c r="B41" s="313"/>
      <c r="C41" s="313"/>
      <c r="D41" s="313"/>
      <c r="E41" s="126"/>
      <c r="F41" s="313"/>
      <c r="G41" s="313"/>
      <c r="H41" s="313"/>
      <c r="I41" s="313"/>
      <c r="J41" s="313"/>
      <c r="K41" s="313"/>
      <c r="L41" s="314"/>
      <c r="M41" s="9"/>
      <c r="O41" s="563" t="s">
        <v>109</v>
      </c>
      <c r="P41" s="564"/>
      <c r="Q41" s="567" t="s">
        <v>110</v>
      </c>
      <c r="R41" s="569" t="s">
        <v>20</v>
      </c>
      <c r="S41" s="561" t="s">
        <v>111</v>
      </c>
      <c r="V41" s="2"/>
    </row>
    <row r="42" spans="1:22" ht="12.75" thickBot="1" x14ac:dyDescent="0.25">
      <c r="A42" s="130" t="s">
        <v>22</v>
      </c>
      <c r="B42" s="131">
        <f>SUM(B34:B40)</f>
        <v>0</v>
      </c>
      <c r="C42" s="132">
        <f>SUM(C34:C40)</f>
        <v>0</v>
      </c>
      <c r="D42" s="132">
        <f>SUM(D34:D40)</f>
        <v>0</v>
      </c>
      <c r="E42" s="132">
        <f>SUM(E34:E41)</f>
        <v>0</v>
      </c>
      <c r="F42" s="132">
        <f t="shared" ref="F42:K42" si="2">SUM(F34:F40)</f>
        <v>0</v>
      </c>
      <c r="G42" s="132">
        <f t="shared" si="2"/>
        <v>0</v>
      </c>
      <c r="H42" s="132">
        <f t="shared" si="2"/>
        <v>0</v>
      </c>
      <c r="I42" s="132">
        <f t="shared" si="2"/>
        <v>0</v>
      </c>
      <c r="J42" s="132">
        <f t="shared" si="2"/>
        <v>0</v>
      </c>
      <c r="K42" s="132">
        <f t="shared" si="2"/>
        <v>0</v>
      </c>
      <c r="L42" s="312"/>
      <c r="M42" s="9"/>
      <c r="O42" s="565"/>
      <c r="P42" s="566"/>
      <c r="Q42" s="568"/>
      <c r="R42" s="570"/>
      <c r="S42" s="562"/>
      <c r="V42" s="2"/>
    </row>
    <row r="43" spans="1:22" ht="12.75" thickBot="1" x14ac:dyDescent="0.25">
      <c r="A43" s="42"/>
      <c r="B43" s="5"/>
      <c r="C43" s="129"/>
      <c r="D43" s="9"/>
      <c r="E43" s="9"/>
      <c r="F43" s="6"/>
      <c r="G43" s="9"/>
      <c r="H43" s="11"/>
      <c r="I43" s="11"/>
      <c r="J43" s="5"/>
      <c r="K43" s="5"/>
      <c r="L43" s="9"/>
      <c r="M43" s="9"/>
      <c r="O43" s="593" t="s">
        <v>108</v>
      </c>
      <c r="P43" s="594"/>
      <c r="Q43" s="594"/>
      <c r="R43" s="594"/>
      <c r="S43" s="595"/>
      <c r="V43" s="2"/>
    </row>
    <row r="44" spans="1:22" x14ac:dyDescent="0.2">
      <c r="A44" s="282">
        <v>31</v>
      </c>
      <c r="B44" s="315"/>
      <c r="C44" s="322"/>
      <c r="D44" s="208"/>
      <c r="E44" s="181"/>
      <c r="F44" s="98"/>
      <c r="G44" s="98"/>
      <c r="H44" s="87"/>
      <c r="I44" s="98"/>
      <c r="J44" s="101"/>
      <c r="K44" s="101"/>
      <c r="L44" s="140"/>
      <c r="M44" s="9"/>
      <c r="O44" s="571"/>
      <c r="P44" s="572"/>
      <c r="Q44" s="575"/>
      <c r="R44" s="575"/>
      <c r="S44" s="577"/>
    </row>
    <row r="45" spans="1:22" s="178" customFormat="1" ht="12.75" thickBot="1" x14ac:dyDescent="0.25">
      <c r="A45" s="284">
        <v>33</v>
      </c>
      <c r="B45" s="317"/>
      <c r="C45" s="324"/>
      <c r="D45" s="210"/>
      <c r="E45" s="126"/>
      <c r="F45" s="126"/>
      <c r="G45" s="126"/>
      <c r="H45" s="127"/>
      <c r="I45" s="126"/>
      <c r="J45" s="128"/>
      <c r="K45" s="128"/>
      <c r="L45" s="135"/>
      <c r="M45" s="177"/>
      <c r="O45" s="573"/>
      <c r="P45" s="574"/>
      <c r="Q45" s="576"/>
      <c r="R45" s="576"/>
      <c r="S45" s="578"/>
      <c r="U45" s="221" t="s">
        <v>6</v>
      </c>
      <c r="V45" s="296" t="s">
        <v>6</v>
      </c>
    </row>
    <row r="46" spans="1:22" s="178" customFormat="1" ht="12.75" thickBot="1" x14ac:dyDescent="0.25">
      <c r="A46" s="130" t="s">
        <v>22</v>
      </c>
      <c r="B46" s="131">
        <f t="shared" ref="B46:I46" si="3">SUM(B44:B45)</f>
        <v>0</v>
      </c>
      <c r="C46" s="132">
        <f>SUM(C44:C45)</f>
        <v>0</v>
      </c>
      <c r="D46" s="132">
        <f t="shared" si="3"/>
        <v>0</v>
      </c>
      <c r="E46" s="132">
        <f t="shared" si="3"/>
        <v>0</v>
      </c>
      <c r="F46" s="132">
        <f>SUM(F44:F45)</f>
        <v>0</v>
      </c>
      <c r="G46" s="132">
        <f t="shared" si="3"/>
        <v>0</v>
      </c>
      <c r="H46" s="132">
        <f t="shared" si="3"/>
        <v>0</v>
      </c>
      <c r="I46" s="132">
        <f t="shared" si="3"/>
        <v>0</v>
      </c>
      <c r="J46" s="132">
        <f>SUM(J44:J45)</f>
        <v>0</v>
      </c>
      <c r="K46" s="132">
        <f>SUM(K44:K45)</f>
        <v>0</v>
      </c>
      <c r="L46" s="312"/>
      <c r="M46" s="177"/>
      <c r="O46" s="588" t="s">
        <v>118</v>
      </c>
      <c r="P46" s="589"/>
      <c r="Q46" s="589"/>
      <c r="R46" s="589"/>
      <c r="S46" s="590"/>
      <c r="V46" s="177"/>
    </row>
    <row r="47" spans="1:22" ht="24.75" customHeight="1" thickBot="1" x14ac:dyDescent="0.25">
      <c r="A47" s="580" t="s">
        <v>181</v>
      </c>
      <c r="B47" s="581"/>
      <c r="C47" s="581"/>
      <c r="D47" s="582"/>
      <c r="E47" s="329"/>
      <c r="F47" s="177"/>
      <c r="G47" s="177"/>
      <c r="H47" s="177"/>
      <c r="I47" s="177"/>
      <c r="J47" s="177"/>
      <c r="K47" s="177"/>
      <c r="L47" s="177"/>
      <c r="O47" s="591"/>
      <c r="P47" s="592"/>
      <c r="Q47" s="293"/>
      <c r="R47" s="293"/>
      <c r="S47" s="294"/>
    </row>
    <row r="48" spans="1:22" ht="6" customHeight="1" thickBot="1" x14ac:dyDescent="0.25">
      <c r="A48" s="42"/>
      <c r="B48" s="5"/>
      <c r="C48" s="134"/>
      <c r="D48" s="9"/>
      <c r="E48" s="9"/>
      <c r="F48" s="6"/>
      <c r="G48" s="9"/>
      <c r="H48" s="11"/>
      <c r="I48" s="11"/>
      <c r="J48" s="5"/>
      <c r="K48" s="5"/>
      <c r="L48" s="176"/>
      <c r="O48" s="357"/>
      <c r="P48" s="199" t="s">
        <v>6</v>
      </c>
    </row>
    <row r="49" spans="1:22" ht="25.35" customHeight="1" x14ac:dyDescent="0.2">
      <c r="A49" s="189" t="s">
        <v>75</v>
      </c>
      <c r="B49" s="190"/>
      <c r="C49" s="190"/>
      <c r="D49" s="211"/>
      <c r="E49" s="211"/>
      <c r="F49" s="301"/>
      <c r="G49" s="301"/>
      <c r="H49" s="191"/>
      <c r="I49" s="141"/>
      <c r="J49" s="141"/>
      <c r="K49" s="105"/>
      <c r="L49" s="304"/>
      <c r="N49" s="222"/>
      <c r="O49" s="559"/>
      <c r="P49" s="373"/>
      <c r="Q49" s="579"/>
      <c r="R49" s="373"/>
      <c r="S49" s="559"/>
    </row>
    <row r="50" spans="1:22" ht="18.75" customHeight="1" x14ac:dyDescent="0.2">
      <c r="A50" s="35" t="s">
        <v>72</v>
      </c>
      <c r="B50" s="142"/>
      <c r="C50" s="142"/>
      <c r="D50" s="297"/>
      <c r="E50" s="297"/>
      <c r="F50" s="299"/>
      <c r="G50" s="299"/>
      <c r="H50" s="148"/>
      <c r="I50" s="300"/>
      <c r="J50" s="300"/>
      <c r="K50" s="302"/>
      <c r="L50" s="305"/>
      <c r="N50" s="222"/>
      <c r="O50" s="559"/>
      <c r="P50" s="373"/>
      <c r="Q50" s="579"/>
      <c r="R50" s="373"/>
      <c r="S50" s="559"/>
      <c r="U50" s="221" t="s">
        <v>6</v>
      </c>
    </row>
    <row r="51" spans="1:22" ht="26.25" customHeight="1" x14ac:dyDescent="0.2">
      <c r="A51" s="35" t="s">
        <v>73</v>
      </c>
      <c r="B51" s="142"/>
      <c r="C51" s="142"/>
      <c r="D51" s="116"/>
      <c r="E51" s="116"/>
      <c r="F51" s="299"/>
      <c r="G51" s="299"/>
      <c r="H51" s="148"/>
      <c r="I51" s="300"/>
      <c r="J51" s="128"/>
      <c r="K51" s="307"/>
      <c r="L51" s="305"/>
      <c r="O51" s="374"/>
      <c r="P51" s="373"/>
      <c r="Q51" s="579"/>
      <c r="R51" s="373"/>
      <c r="S51" s="374"/>
    </row>
    <row r="52" spans="1:22" ht="27.75" customHeight="1" x14ac:dyDescent="0.2">
      <c r="A52" s="35" t="s">
        <v>74</v>
      </c>
      <c r="B52" s="142"/>
      <c r="C52" s="142"/>
      <c r="D52" s="116"/>
      <c r="E52" s="116"/>
      <c r="F52" s="299"/>
      <c r="G52" s="299"/>
      <c r="H52" s="148"/>
      <c r="I52" s="300"/>
      <c r="J52" s="300"/>
      <c r="K52" s="302"/>
      <c r="L52" s="305"/>
      <c r="Q52" s="356"/>
    </row>
    <row r="53" spans="1:22" s="298" customFormat="1" ht="27.75" customHeight="1" x14ac:dyDescent="0.2">
      <c r="A53" s="35" t="s">
        <v>184</v>
      </c>
      <c r="B53" s="142"/>
      <c r="C53" s="142"/>
      <c r="D53" s="116"/>
      <c r="E53" s="116"/>
      <c r="F53" s="299"/>
      <c r="G53" s="299"/>
      <c r="H53" s="148"/>
      <c r="I53" s="300"/>
      <c r="J53" s="300"/>
      <c r="K53" s="302"/>
      <c r="L53" s="305"/>
      <c r="P53" s="356" t="s">
        <v>6</v>
      </c>
      <c r="Q53" s="356"/>
    </row>
    <row r="54" spans="1:22" s="137" customFormat="1" ht="24" x14ac:dyDescent="0.2">
      <c r="A54" s="144" t="s">
        <v>76</v>
      </c>
      <c r="B54" s="142"/>
      <c r="C54" s="142"/>
      <c r="D54" s="116"/>
      <c r="E54" s="116"/>
      <c r="F54" s="299"/>
      <c r="G54" s="299"/>
      <c r="H54" s="148"/>
      <c r="I54" s="300"/>
      <c r="J54" s="195"/>
      <c r="K54" s="308"/>
      <c r="L54" s="305"/>
      <c r="M54" s="136"/>
      <c r="P54" s="137" t="s">
        <v>6</v>
      </c>
      <c r="V54" s="136"/>
    </row>
    <row r="55" spans="1:22" ht="15.75" customHeight="1" thickBot="1" x14ac:dyDescent="0.25">
      <c r="A55" s="138" t="s">
        <v>77</v>
      </c>
      <c r="B55" s="143"/>
      <c r="C55" s="143"/>
      <c r="D55" s="117"/>
      <c r="E55" s="117"/>
      <c r="F55" s="303"/>
      <c r="G55" s="303"/>
      <c r="H55" s="192"/>
      <c r="I55" s="103"/>
      <c r="J55" s="103"/>
      <c r="K55" s="107"/>
      <c r="L55" s="306"/>
      <c r="O55" s="298" t="s">
        <v>6</v>
      </c>
    </row>
    <row r="56" spans="1:22" ht="15.75" customHeight="1" thickBot="1" x14ac:dyDescent="0.25">
      <c r="A56" s="130" t="s">
        <v>22</v>
      </c>
      <c r="B56" s="309"/>
      <c r="C56" s="310"/>
      <c r="D56" s="132">
        <f t="shared" ref="D56:K56" si="4">SUM(D37:D55)</f>
        <v>0</v>
      </c>
      <c r="E56" s="132">
        <f t="shared" si="4"/>
        <v>0</v>
      </c>
      <c r="F56" s="311">
        <f t="shared" si="4"/>
        <v>0</v>
      </c>
      <c r="G56" s="311">
        <f t="shared" si="4"/>
        <v>0</v>
      </c>
      <c r="H56" s="132">
        <f t="shared" si="4"/>
        <v>0</v>
      </c>
      <c r="I56" s="132">
        <f t="shared" si="4"/>
        <v>0</v>
      </c>
      <c r="J56" s="132">
        <f t="shared" si="4"/>
        <v>0</v>
      </c>
      <c r="K56" s="132">
        <f t="shared" si="4"/>
        <v>0</v>
      </c>
      <c r="L56" s="312"/>
      <c r="O56" s="137" t="s">
        <v>6</v>
      </c>
    </row>
    <row r="57" spans="1:22" x14ac:dyDescent="0.2">
      <c r="K57" s="4"/>
    </row>
    <row r="60" spans="1:22" x14ac:dyDescent="0.2">
      <c r="E60" s="298" t="s">
        <v>6</v>
      </c>
    </row>
  </sheetData>
  <sheetProtection password="9D31" sheet="1" objects="1" scenarios="1" selectLockedCells="1"/>
  <mergeCells count="87">
    <mergeCell ref="A11:D11"/>
    <mergeCell ref="M11:O11"/>
    <mergeCell ref="G11:I11"/>
    <mergeCell ref="A10:D10"/>
    <mergeCell ref="A13:D13"/>
    <mergeCell ref="A9:D9"/>
    <mergeCell ref="G9:I9"/>
    <mergeCell ref="M9:O9"/>
    <mergeCell ref="G10:I10"/>
    <mergeCell ref="M10:O10"/>
    <mergeCell ref="G6:I6"/>
    <mergeCell ref="M6:O6"/>
    <mergeCell ref="M7:O7"/>
    <mergeCell ref="A8:D8"/>
    <mergeCell ref="G8:I8"/>
    <mergeCell ref="M8:O8"/>
    <mergeCell ref="A6:D6"/>
    <mergeCell ref="A7:D7"/>
    <mergeCell ref="Q3:S3"/>
    <mergeCell ref="A1:U1"/>
    <mergeCell ref="A2:U2"/>
    <mergeCell ref="I3:J3"/>
    <mergeCell ref="A5:E5"/>
    <mergeCell ref="G5:J5"/>
    <mergeCell ref="M3:N3"/>
    <mergeCell ref="M5:P5"/>
    <mergeCell ref="U18:U20"/>
    <mergeCell ref="N18:N20"/>
    <mergeCell ref="N16:V16"/>
    <mergeCell ref="S18:S20"/>
    <mergeCell ref="T18:T20"/>
    <mergeCell ref="O18:O20"/>
    <mergeCell ref="P18:P20"/>
    <mergeCell ref="Q18:Q20"/>
    <mergeCell ref="V18:V20"/>
    <mergeCell ref="R18:R20"/>
    <mergeCell ref="A16:L16"/>
    <mergeCell ref="A12:D12"/>
    <mergeCell ref="G13:I13"/>
    <mergeCell ref="M13:O13"/>
    <mergeCell ref="M12:O12"/>
    <mergeCell ref="G12:I12"/>
    <mergeCell ref="U22:U24"/>
    <mergeCell ref="R22:R24"/>
    <mergeCell ref="O32:O33"/>
    <mergeCell ref="P32:Q33"/>
    <mergeCell ref="N21:V21"/>
    <mergeCell ref="V22:V24"/>
    <mergeCell ref="N22:N24"/>
    <mergeCell ref="O22:O24"/>
    <mergeCell ref="P22:P24"/>
    <mergeCell ref="Q22:Q24"/>
    <mergeCell ref="S22:S24"/>
    <mergeCell ref="T22:T24"/>
    <mergeCell ref="O31:U31"/>
    <mergeCell ref="T32:T33"/>
    <mergeCell ref="U32:U33"/>
    <mergeCell ref="R32:S33"/>
    <mergeCell ref="A47:D47"/>
    <mergeCell ref="R34:S34"/>
    <mergeCell ref="R35:S35"/>
    <mergeCell ref="R36:S36"/>
    <mergeCell ref="R37:S37"/>
    <mergeCell ref="R38:S38"/>
    <mergeCell ref="R39:S39"/>
    <mergeCell ref="R40:S40"/>
    <mergeCell ref="P35:Q35"/>
    <mergeCell ref="P36:Q36"/>
    <mergeCell ref="P37:Q37"/>
    <mergeCell ref="P38:Q38"/>
    <mergeCell ref="P39:Q39"/>
    <mergeCell ref="O46:S46"/>
    <mergeCell ref="O47:P47"/>
    <mergeCell ref="O43:S43"/>
    <mergeCell ref="O49:O50"/>
    <mergeCell ref="S49:S50"/>
    <mergeCell ref="P34:Q34"/>
    <mergeCell ref="P40:Q40"/>
    <mergeCell ref="S41:S42"/>
    <mergeCell ref="O41:P42"/>
    <mergeCell ref="Q41:Q42"/>
    <mergeCell ref="R41:R42"/>
    <mergeCell ref="O44:P45"/>
    <mergeCell ref="Q44:Q45"/>
    <mergeCell ref="R44:R45"/>
    <mergeCell ref="S44:S45"/>
    <mergeCell ref="Q49:Q51"/>
  </mergeCells>
  <phoneticPr fontId="8" type="noConversion"/>
  <conditionalFormatting sqref="F34:F36 F38:F40 F18:F31">
    <cfRule type="cellIs" dxfId="133" priority="115" operator="greaterThanOrEqual">
      <formula>B18</formula>
    </cfRule>
  </conditionalFormatting>
  <conditionalFormatting sqref="G18:G31">
    <cfRule type="cellIs" dxfId="132" priority="114" operator="greaterThan">
      <formula>0</formula>
    </cfRule>
  </conditionalFormatting>
  <conditionalFormatting sqref="H44:H45 H18:H31 H34:H40">
    <cfRule type="cellIs" dxfId="131" priority="112" operator="lessThan">
      <formula>0</formula>
    </cfRule>
  </conditionalFormatting>
  <conditionalFormatting sqref="H44:H45 H18:H31 H34:H40">
    <cfRule type="cellIs" dxfId="130" priority="111" operator="greaterThanOrEqual">
      <formula>0</formula>
    </cfRule>
  </conditionalFormatting>
  <conditionalFormatting sqref="G18:G31">
    <cfRule type="cellIs" dxfId="129" priority="110" operator="equal">
      <formula>0</formula>
    </cfRule>
  </conditionalFormatting>
  <conditionalFormatting sqref="F34:F36 F38:F40 F18:F31">
    <cfRule type="cellIs" dxfId="128" priority="109" operator="lessThan">
      <formula>B18</formula>
    </cfRule>
  </conditionalFormatting>
  <conditionalFormatting sqref="G34:G36 G38:G40 F49:H55">
    <cfRule type="cellIs" dxfId="127" priority="106" operator="greaterThan">
      <formula>0</formula>
    </cfRule>
    <cfRule type="cellIs" dxfId="126" priority="107" operator="lessThanOrEqual">
      <formula>0</formula>
    </cfRule>
  </conditionalFormatting>
  <conditionalFormatting sqref="H34:H40">
    <cfRule type="cellIs" dxfId="125" priority="104" operator="greaterThanOrEqual">
      <formula>0</formula>
    </cfRule>
    <cfRule type="cellIs" dxfId="124" priority="105" operator="lessThan">
      <formula>0</formula>
    </cfRule>
  </conditionalFormatting>
  <conditionalFormatting sqref="F44:F45">
    <cfRule type="cellIs" dxfId="123" priority="102" operator="lessThan">
      <formula>B44</formula>
    </cfRule>
  </conditionalFormatting>
  <conditionalFormatting sqref="F44:F45">
    <cfRule type="cellIs" dxfId="122" priority="101" operator="greaterThanOrEqual">
      <formula>B44</formula>
    </cfRule>
  </conditionalFormatting>
  <conditionalFormatting sqref="G37 G44:G45">
    <cfRule type="cellIs" dxfId="121" priority="99" operator="equal">
      <formula>0</formula>
    </cfRule>
    <cfRule type="cellIs" dxfId="120" priority="100" operator="greaterThan">
      <formula>0</formula>
    </cfRule>
  </conditionalFormatting>
  <conditionalFormatting sqref="H44:H45">
    <cfRule type="cellIs" dxfId="119" priority="97" operator="lessThan">
      <formula>0</formula>
    </cfRule>
    <cfRule type="cellIs" dxfId="118" priority="98" operator="greaterThanOrEqual">
      <formula>0</formula>
    </cfRule>
  </conditionalFormatting>
  <conditionalFormatting sqref="F37">
    <cfRule type="cellIs" dxfId="117" priority="95" operator="greaterThanOrEqual">
      <formula>$B$37</formula>
    </cfRule>
    <cfRule type="cellIs" dxfId="116" priority="96" operator="lessThan">
      <formula>$B$37</formula>
    </cfRule>
  </conditionalFormatting>
  <conditionalFormatting sqref="S40 S34:S37 R34:R40">
    <cfRule type="cellIs" dxfId="115" priority="69" operator="greaterThanOrEqual">
      <formula>1</formula>
    </cfRule>
  </conditionalFormatting>
  <conditionalFormatting sqref="V18:V20 V25:V29 L47:L55 L43:L45 L18:L31 L33:L41">
    <cfRule type="containsText" dxfId="114" priority="71" operator="containsText" text="N">
      <formula>NOT(ISERROR(SEARCH("N",L18)))</formula>
    </cfRule>
    <cfRule type="containsText" dxfId="113" priority="72" operator="containsText" text="Y">
      <formula>NOT(ISERROR(SEARCH("Y",L18)))</formula>
    </cfRule>
    <cfRule type="containsText" dxfId="112" priority="83" operator="containsText" text="n">
      <formula>NOT(ISERROR(SEARCH("n",L18)))</formula>
    </cfRule>
    <cfRule type="containsText" dxfId="111" priority="84" operator="containsText" text="y">
      <formula>NOT(ISERROR(SEARCH("y",L18)))</formula>
    </cfRule>
  </conditionalFormatting>
  <conditionalFormatting sqref="J18">
    <cfRule type="cellIs" dxfId="110" priority="68" operator="between">
      <formula>1</formula>
      <formula>5</formula>
    </cfRule>
  </conditionalFormatting>
  <conditionalFormatting sqref="J43:K45 T18:U20 T25:U29 J33:K41 J18:K31 J48:K55">
    <cfRule type="cellIs" dxfId="109" priority="67" operator="between">
      <formula>1</formula>
      <formula>9</formula>
    </cfRule>
  </conditionalFormatting>
  <conditionalFormatting sqref="S25:S29">
    <cfRule type="cellIs" dxfId="108" priority="52" operator="greaterThan">
      <formula>0</formula>
    </cfRule>
    <cfRule type="cellIs" dxfId="107" priority="53" operator="lessThanOrEqual">
      <formula>0</formula>
    </cfRule>
  </conditionalFormatting>
  <conditionalFormatting sqref="R18:S20">
    <cfRule type="cellIs" dxfId="106" priority="51" operator="greaterThan">
      <formula>0</formula>
    </cfRule>
  </conditionalFormatting>
  <conditionalFormatting sqref="Q18:Q20">
    <cfRule type="cellIs" dxfId="105" priority="50" operator="greaterThan">
      <formula>0</formula>
    </cfRule>
  </conditionalFormatting>
  <conditionalFormatting sqref="E13 P13 J13">
    <cfRule type="cellIs" dxfId="104" priority="48" operator="greaterThan">
      <formula>-1</formula>
    </cfRule>
    <cfRule type="cellIs" dxfId="103" priority="49" operator="lessThan">
      <formula>0</formula>
    </cfRule>
  </conditionalFormatting>
  <conditionalFormatting sqref="S5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Q52:Q53">
    <cfRule type="iconSet" priority="2">
      <iconSet iconSet="3ArrowsGray">
        <cfvo type="percent" val="0"/>
        <cfvo type="num" val="0"/>
        <cfvo type="num" val="0.1" gte="0"/>
      </iconSet>
    </cfRule>
  </conditionalFormatting>
  <conditionalFormatting sqref="Q49:Q51">
    <cfRule type="iconSet" priority="1">
      <iconSet iconSet="3ArrowsGray">
        <cfvo type="percent" val="0"/>
        <cfvo type="num" val="0"/>
        <cfvo type="num" val="0.1"/>
      </iconSet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U54"/>
  <sheetViews>
    <sheetView showGridLines="0" topLeftCell="A4" workbookViewId="0">
      <selection activeCell="K9" sqref="K9"/>
    </sheetView>
  </sheetViews>
  <sheetFormatPr defaultColWidth="9.140625" defaultRowHeight="12" x14ac:dyDescent="0.2"/>
  <cols>
    <col min="1" max="1" width="9.42578125" style="343" customWidth="1"/>
    <col min="2" max="3" width="13.140625" style="343" customWidth="1"/>
    <col min="4" max="4" width="9.140625" style="343" customWidth="1"/>
    <col min="5" max="5" width="12.42578125" style="343" customWidth="1"/>
    <col min="6" max="6" width="13.42578125" style="343" customWidth="1"/>
    <col min="7" max="7" width="10" style="343" customWidth="1"/>
    <col min="8" max="8" width="9.5703125" style="343" customWidth="1"/>
    <col min="9" max="10" width="11" style="343" customWidth="1"/>
    <col min="11" max="11" width="9.85546875" style="343" customWidth="1"/>
    <col min="12" max="12" width="13.42578125" style="343" customWidth="1"/>
    <col min="13" max="13" width="15" style="343" customWidth="1"/>
    <col min="14" max="15" width="11.42578125" style="343" customWidth="1"/>
    <col min="16" max="16" width="12.42578125" style="343" customWidth="1"/>
    <col min="17" max="17" width="10.42578125" style="343" customWidth="1"/>
    <col min="18" max="18" width="9.5703125" style="343" customWidth="1"/>
    <col min="19" max="19" width="10" style="343" customWidth="1"/>
    <col min="20" max="20" width="8.5703125" style="343" customWidth="1"/>
    <col min="21" max="16384" width="9.140625" style="343"/>
  </cols>
  <sheetData>
    <row r="1" spans="1:21" ht="21" customHeight="1" thickBot="1" x14ac:dyDescent="0.25">
      <c r="A1" s="413" t="s">
        <v>42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4"/>
      <c r="P1" s="336"/>
      <c r="Q1" s="336"/>
      <c r="R1" s="336"/>
      <c r="S1" s="336"/>
      <c r="T1" s="336"/>
      <c r="U1" s="222"/>
    </row>
    <row r="2" spans="1:21" ht="8.25" customHeight="1" thickBot="1" x14ac:dyDescent="0.25">
      <c r="A2" s="641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642"/>
      <c r="S2" s="642"/>
      <c r="T2" s="642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643" t="s">
        <v>208</v>
      </c>
      <c r="G3" s="661"/>
      <c r="H3" s="21"/>
      <c r="I3" s="97" t="s">
        <v>51</v>
      </c>
      <c r="J3" s="643" t="s">
        <v>209</v>
      </c>
      <c r="K3" s="644"/>
      <c r="L3" s="22"/>
      <c r="M3" s="97" t="s">
        <v>2</v>
      </c>
      <c r="N3" s="353">
        <v>0.54166666666666663</v>
      </c>
      <c r="O3" s="22"/>
      <c r="P3" s="23"/>
      <c r="Q3" s="22"/>
      <c r="R3" s="340"/>
      <c r="S3" s="340"/>
      <c r="T3" s="22"/>
    </row>
    <row r="4" spans="1:21" ht="16.5" customHeight="1" thickBot="1" x14ac:dyDescent="0.25">
      <c r="K4" s="335"/>
      <c r="L4" s="335"/>
      <c r="M4" s="335"/>
      <c r="N4" s="335"/>
      <c r="O4" s="335"/>
      <c r="P4" s="335"/>
      <c r="Q4" s="335"/>
      <c r="R4" s="17"/>
      <c r="S4" s="17"/>
      <c r="T4" s="335"/>
    </row>
    <row r="5" spans="1:21" ht="18" customHeight="1" thickBot="1" x14ac:dyDescent="0.25">
      <c r="A5" s="662" t="s">
        <v>5</v>
      </c>
      <c r="B5" s="663"/>
      <c r="C5" s="663"/>
      <c r="D5" s="663"/>
      <c r="E5" s="663"/>
      <c r="F5" s="664"/>
      <c r="G5" s="222"/>
      <c r="H5" s="662" t="s">
        <v>7</v>
      </c>
      <c r="I5" s="663"/>
      <c r="J5" s="663"/>
      <c r="K5" s="664"/>
      <c r="M5" s="665" t="s">
        <v>13</v>
      </c>
      <c r="N5" s="473"/>
      <c r="O5" s="439"/>
      <c r="P5" s="67"/>
      <c r="S5" s="335"/>
    </row>
    <row r="6" spans="1:21" ht="17.25" customHeight="1" x14ac:dyDescent="0.2">
      <c r="A6" s="650" t="s">
        <v>17</v>
      </c>
      <c r="B6" s="651"/>
      <c r="C6" s="651"/>
      <c r="D6" s="651"/>
      <c r="E6" s="651"/>
      <c r="F6" s="27">
        <f>'Sitrep 0830'!E6</f>
        <v>0</v>
      </c>
      <c r="G6" s="335"/>
      <c r="H6" s="650" t="s">
        <v>17</v>
      </c>
      <c r="I6" s="651"/>
      <c r="J6" s="651"/>
      <c r="K6" s="27">
        <f>'Sitrep 0830'!J6</f>
        <v>0</v>
      </c>
      <c r="M6" s="650" t="s">
        <v>17</v>
      </c>
      <c r="N6" s="666"/>
      <c r="O6" s="27">
        <f>F6+K6</f>
        <v>0</v>
      </c>
      <c r="S6" s="17"/>
    </row>
    <row r="7" spans="1:21" ht="12" customHeight="1" x14ac:dyDescent="0.2">
      <c r="A7" s="652" t="s">
        <v>18</v>
      </c>
      <c r="B7" s="653"/>
      <c r="C7" s="653"/>
      <c r="D7" s="653"/>
      <c r="E7" s="653"/>
      <c r="F7" s="28">
        <f>'Sitrep 0830'!E7</f>
        <v>58</v>
      </c>
      <c r="G7" s="26"/>
      <c r="H7" s="341" t="s">
        <v>18</v>
      </c>
      <c r="I7" s="342"/>
      <c r="J7" s="342"/>
      <c r="K7" s="28">
        <f>'Sitrep 0830'!J7</f>
        <v>23</v>
      </c>
      <c r="M7" s="652" t="s">
        <v>14</v>
      </c>
      <c r="N7" s="660"/>
      <c r="O7" s="28">
        <f t="shared" ref="O7:O13" si="0">F7+K7</f>
        <v>81</v>
      </c>
      <c r="S7" s="335"/>
    </row>
    <row r="8" spans="1:21" ht="12" customHeight="1" x14ac:dyDescent="0.2">
      <c r="A8" s="652" t="s">
        <v>19</v>
      </c>
      <c r="B8" s="653"/>
      <c r="C8" s="653"/>
      <c r="D8" s="653"/>
      <c r="E8" s="653"/>
      <c r="F8" s="29">
        <f>SUM(F6:F7)</f>
        <v>58</v>
      </c>
      <c r="G8" s="26"/>
      <c r="H8" s="619" t="s">
        <v>19</v>
      </c>
      <c r="I8" s="620"/>
      <c r="J8" s="620"/>
      <c r="K8" s="29">
        <f>SUM(K6:K7)</f>
        <v>23</v>
      </c>
      <c r="M8" s="652" t="s">
        <v>19</v>
      </c>
      <c r="N8" s="660"/>
      <c r="O8" s="29">
        <f t="shared" si="0"/>
        <v>81</v>
      </c>
      <c r="S8" s="335"/>
    </row>
    <row r="9" spans="1:21" ht="12" customHeight="1" x14ac:dyDescent="0.2">
      <c r="A9" s="654" t="s">
        <v>4</v>
      </c>
      <c r="B9" s="655"/>
      <c r="C9" s="655"/>
      <c r="D9" s="655"/>
      <c r="E9" s="656"/>
      <c r="F9" s="333">
        <v>19</v>
      </c>
      <c r="G9" s="335"/>
      <c r="H9" s="657" t="s">
        <v>4</v>
      </c>
      <c r="I9" s="658"/>
      <c r="J9" s="659"/>
      <c r="K9" s="333">
        <v>9</v>
      </c>
      <c r="M9" s="652" t="s">
        <v>4</v>
      </c>
      <c r="N9" s="660"/>
      <c r="O9" s="85">
        <f t="shared" si="0"/>
        <v>28</v>
      </c>
      <c r="Q9" s="335"/>
      <c r="R9" s="335"/>
      <c r="S9" s="335"/>
    </row>
    <row r="10" spans="1:21" ht="12" customHeight="1" x14ac:dyDescent="0.2">
      <c r="A10" s="652" t="s">
        <v>3</v>
      </c>
      <c r="B10" s="653"/>
      <c r="C10" s="653"/>
      <c r="D10" s="653"/>
      <c r="E10" s="653"/>
      <c r="F10" s="30">
        <f>F8-F9</f>
        <v>39</v>
      </c>
      <c r="G10" s="335"/>
      <c r="H10" s="619" t="s">
        <v>3</v>
      </c>
      <c r="I10" s="620"/>
      <c r="J10" s="620"/>
      <c r="K10" s="30">
        <f>K8-K9</f>
        <v>14</v>
      </c>
      <c r="M10" s="652" t="s">
        <v>3</v>
      </c>
      <c r="N10" s="660"/>
      <c r="O10" s="30">
        <f t="shared" si="0"/>
        <v>53</v>
      </c>
      <c r="Q10" s="335"/>
      <c r="R10" s="335"/>
      <c r="S10" s="335"/>
    </row>
    <row r="11" spans="1:21" ht="12.75" x14ac:dyDescent="0.2">
      <c r="A11" s="654" t="s">
        <v>8</v>
      </c>
      <c r="B11" s="655"/>
      <c r="C11" s="655"/>
      <c r="D11" s="655"/>
      <c r="E11" s="656"/>
      <c r="F11" s="31">
        <f>D32</f>
        <v>3</v>
      </c>
      <c r="G11" s="335"/>
      <c r="H11" s="657" t="s">
        <v>8</v>
      </c>
      <c r="I11" s="658"/>
      <c r="J11" s="659"/>
      <c r="K11" s="31">
        <f>SUM(D34:D35,D38:D40,D44:D45,D37)</f>
        <v>11</v>
      </c>
      <c r="M11" s="652" t="s">
        <v>8</v>
      </c>
      <c r="N11" s="660"/>
      <c r="O11" s="31">
        <f t="shared" si="0"/>
        <v>14</v>
      </c>
      <c r="Q11" s="340" t="s">
        <v>6</v>
      </c>
      <c r="R11" s="340"/>
      <c r="S11" s="18"/>
    </row>
    <row r="12" spans="1:21" ht="12.75" x14ac:dyDescent="0.2">
      <c r="A12" s="619" t="s">
        <v>26</v>
      </c>
      <c r="B12" s="620"/>
      <c r="C12" s="620"/>
      <c r="D12" s="620"/>
      <c r="E12" s="620"/>
      <c r="F12" s="32">
        <f>F32</f>
        <v>15</v>
      </c>
      <c r="G12" s="4"/>
      <c r="H12" s="619" t="s">
        <v>26</v>
      </c>
      <c r="I12" s="620"/>
      <c r="J12" s="620"/>
      <c r="K12" s="32">
        <f>SUM(F34:F35,F38:F40,F44:F45,F37)</f>
        <v>11</v>
      </c>
      <c r="M12" s="619" t="s">
        <v>26</v>
      </c>
      <c r="N12" s="660"/>
      <c r="O12" s="32">
        <f t="shared" si="0"/>
        <v>26</v>
      </c>
      <c r="Q12" s="340"/>
      <c r="R12" s="340"/>
      <c r="S12" s="18"/>
    </row>
    <row r="13" spans="1:21" ht="13.5" thickBot="1" x14ac:dyDescent="0.25">
      <c r="A13" s="621" t="s">
        <v>12</v>
      </c>
      <c r="B13" s="622"/>
      <c r="C13" s="622"/>
      <c r="D13" s="622"/>
      <c r="E13" s="622"/>
      <c r="F13" s="33">
        <f>(F11+F12)-F10</f>
        <v>-21</v>
      </c>
      <c r="G13" s="4"/>
      <c r="H13" s="621" t="s">
        <v>12</v>
      </c>
      <c r="I13" s="622"/>
      <c r="J13" s="622"/>
      <c r="K13" s="33">
        <f>(K11+K12)-K10</f>
        <v>8</v>
      </c>
      <c r="M13" s="621" t="s">
        <v>12</v>
      </c>
      <c r="N13" s="667"/>
      <c r="O13" s="33">
        <f t="shared" si="0"/>
        <v>-13</v>
      </c>
      <c r="P13" s="222"/>
      <c r="Q13" s="340"/>
      <c r="R13" s="340"/>
      <c r="S13" s="335"/>
    </row>
    <row r="14" spans="1:21" x14ac:dyDescent="0.2">
      <c r="P14" s="222"/>
      <c r="Q14" s="335"/>
      <c r="R14" s="335"/>
      <c r="S14" s="335"/>
    </row>
    <row r="15" spans="1:21" ht="12.75" thickBot="1" x14ac:dyDescent="0.25">
      <c r="I15" s="222"/>
      <c r="J15" s="222"/>
      <c r="K15" s="222"/>
      <c r="L15" s="222"/>
      <c r="M15" s="222"/>
      <c r="N15" s="222"/>
      <c r="O15" s="335"/>
      <c r="P15" s="222"/>
      <c r="Q15" s="335"/>
      <c r="R15" s="335"/>
      <c r="S15" s="222"/>
      <c r="T15" s="222"/>
      <c r="U15" s="222"/>
    </row>
    <row r="16" spans="1:21" ht="13.5" customHeight="1" thickBot="1" x14ac:dyDescent="0.25">
      <c r="A16" s="413" t="s">
        <v>32</v>
      </c>
      <c r="B16" s="668"/>
      <c r="C16" s="668"/>
      <c r="D16" s="668"/>
      <c r="E16" s="668"/>
      <c r="F16" s="668"/>
      <c r="G16" s="668"/>
      <c r="H16" s="669"/>
      <c r="I16" s="61"/>
      <c r="J16" s="413" t="s">
        <v>185</v>
      </c>
      <c r="K16" s="618"/>
      <c r="L16" s="618"/>
      <c r="M16" s="618"/>
      <c r="N16" s="618"/>
      <c r="O16" s="618"/>
      <c r="P16" s="414"/>
      <c r="Q16" s="59"/>
      <c r="R16" s="18"/>
      <c r="S16" s="336"/>
      <c r="T16" s="336"/>
      <c r="U16" s="222"/>
    </row>
    <row r="17" spans="1:20" ht="69.75" customHeight="1" thickBot="1" x14ac:dyDescent="0.25">
      <c r="A17" s="53" t="s">
        <v>9</v>
      </c>
      <c r="B17" s="49" t="s">
        <v>47</v>
      </c>
      <c r="C17" s="202" t="s">
        <v>116</v>
      </c>
      <c r="D17" s="54" t="s">
        <v>31</v>
      </c>
      <c r="E17" s="48" t="s">
        <v>70</v>
      </c>
      <c r="F17" s="54" t="s">
        <v>112</v>
      </c>
      <c r="G17" s="48" t="s">
        <v>63</v>
      </c>
      <c r="H17" s="339" t="s">
        <v>24</v>
      </c>
      <c r="I17" s="335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335"/>
    </row>
    <row r="18" spans="1:20" ht="13.5" customHeight="1" x14ac:dyDescent="0.2">
      <c r="A18" s="34" t="s">
        <v>10</v>
      </c>
      <c r="B18" s="50">
        <v>22</v>
      </c>
      <c r="C18" s="206"/>
      <c r="D18" s="347">
        <v>0</v>
      </c>
      <c r="E18" s="347">
        <v>4</v>
      </c>
      <c r="F18" s="347">
        <v>4</v>
      </c>
      <c r="G18" s="347">
        <v>6</v>
      </c>
      <c r="H18" s="44">
        <f>(F18+G18)-(B18+E18)</f>
        <v>-16</v>
      </c>
      <c r="I18" s="335"/>
      <c r="J18" s="675">
        <v>16</v>
      </c>
      <c r="K18" s="626" t="s">
        <v>210</v>
      </c>
      <c r="L18" s="626" t="s">
        <v>211</v>
      </c>
      <c r="M18" s="626">
        <v>3</v>
      </c>
      <c r="N18" s="626">
        <v>4</v>
      </c>
      <c r="O18" s="631">
        <v>8</v>
      </c>
      <c r="P18" s="477">
        <v>0</v>
      </c>
      <c r="Q18" s="335"/>
      <c r="R18" s="335"/>
    </row>
    <row r="19" spans="1:20" x14ac:dyDescent="0.2">
      <c r="A19" s="35">
        <v>13</v>
      </c>
      <c r="B19" s="51">
        <v>5</v>
      </c>
      <c r="C19" s="207"/>
      <c r="D19" s="345">
        <v>0</v>
      </c>
      <c r="E19" s="345"/>
      <c r="F19" s="345">
        <v>0</v>
      </c>
      <c r="G19" s="345">
        <v>0</v>
      </c>
      <c r="H19" s="45">
        <f t="shared" ref="H19:H31" si="1">(F19+G19)-(B19+E19)</f>
        <v>-5</v>
      </c>
      <c r="I19" s="335"/>
      <c r="J19" s="676"/>
      <c r="K19" s="678"/>
      <c r="L19" s="678"/>
      <c r="M19" s="678"/>
      <c r="N19" s="678"/>
      <c r="O19" s="632"/>
      <c r="P19" s="670"/>
      <c r="Q19" s="335"/>
      <c r="R19" s="335" t="s">
        <v>6</v>
      </c>
    </row>
    <row r="20" spans="1:20" ht="12.75" customHeight="1" thickBot="1" x14ac:dyDescent="0.25">
      <c r="A20" s="35">
        <v>9</v>
      </c>
      <c r="B20" s="51">
        <v>1</v>
      </c>
      <c r="C20" s="207"/>
      <c r="D20" s="345">
        <v>0</v>
      </c>
      <c r="E20" s="345"/>
      <c r="F20" s="345">
        <v>0</v>
      </c>
      <c r="G20" s="345">
        <v>0</v>
      </c>
      <c r="H20" s="45">
        <f t="shared" si="1"/>
        <v>-1</v>
      </c>
      <c r="I20" s="335"/>
      <c r="J20" s="677"/>
      <c r="K20" s="679"/>
      <c r="L20" s="679"/>
      <c r="M20" s="679"/>
      <c r="N20" s="679"/>
      <c r="O20" s="633"/>
      <c r="P20" s="671"/>
      <c r="Q20" s="335"/>
      <c r="R20" s="335" t="s">
        <v>6</v>
      </c>
      <c r="T20" s="343" t="s">
        <v>6</v>
      </c>
    </row>
    <row r="21" spans="1:20" ht="13.5" thickBot="1" x14ac:dyDescent="0.25">
      <c r="A21" s="35">
        <v>22</v>
      </c>
      <c r="B21" s="51">
        <v>3</v>
      </c>
      <c r="C21" s="212"/>
      <c r="D21" s="345">
        <v>0</v>
      </c>
      <c r="E21" s="345"/>
      <c r="F21" s="345">
        <v>0</v>
      </c>
      <c r="G21" s="345">
        <v>0</v>
      </c>
      <c r="H21" s="45">
        <f t="shared" si="1"/>
        <v>-3</v>
      </c>
      <c r="I21" s="335"/>
      <c r="J21" s="672" t="s">
        <v>36</v>
      </c>
      <c r="K21" s="673"/>
      <c r="L21" s="673"/>
      <c r="M21" s="673"/>
      <c r="N21" s="673"/>
      <c r="O21" s="674"/>
      <c r="P21" s="336"/>
      <c r="Q21" s="336"/>
    </row>
    <row r="22" spans="1:20" ht="12" customHeight="1" x14ac:dyDescent="0.2">
      <c r="A22" s="35" t="s">
        <v>21</v>
      </c>
      <c r="B22" s="51">
        <v>10</v>
      </c>
      <c r="C22" s="212"/>
      <c r="D22" s="345">
        <v>1</v>
      </c>
      <c r="E22" s="345"/>
      <c r="F22" s="345">
        <v>3</v>
      </c>
      <c r="G22" s="345">
        <v>0</v>
      </c>
      <c r="H22" s="45">
        <f t="shared" si="1"/>
        <v>-7</v>
      </c>
      <c r="I22" s="335"/>
      <c r="J22" s="337" t="s">
        <v>36</v>
      </c>
      <c r="K22" s="408" t="s">
        <v>31</v>
      </c>
      <c r="L22" s="408" t="s">
        <v>44</v>
      </c>
      <c r="M22" s="408" t="s">
        <v>67</v>
      </c>
      <c r="N22" s="408" t="s">
        <v>35</v>
      </c>
      <c r="O22" s="406" t="s">
        <v>24</v>
      </c>
      <c r="Q22" s="335"/>
    </row>
    <row r="23" spans="1:20" ht="12" customHeight="1" x14ac:dyDescent="0.2">
      <c r="A23" s="35">
        <v>32</v>
      </c>
      <c r="B23" s="51">
        <v>3</v>
      </c>
      <c r="C23" s="212"/>
      <c r="D23" s="345">
        <v>0</v>
      </c>
      <c r="E23" s="345"/>
      <c r="F23" s="345">
        <v>2</v>
      </c>
      <c r="G23" s="345">
        <v>0</v>
      </c>
      <c r="H23" s="45">
        <f t="shared" si="1"/>
        <v>-1</v>
      </c>
      <c r="I23" s="335"/>
      <c r="J23" s="344"/>
      <c r="K23" s="407"/>
      <c r="L23" s="407"/>
      <c r="M23" s="407"/>
      <c r="N23" s="407"/>
      <c r="O23" s="407"/>
      <c r="Q23" s="335"/>
    </row>
    <row r="24" spans="1:20" ht="12" customHeight="1" thickBot="1" x14ac:dyDescent="0.25">
      <c r="A24" s="35">
        <v>33</v>
      </c>
      <c r="B24" s="51">
        <v>1</v>
      </c>
      <c r="C24" s="212"/>
      <c r="D24" s="345">
        <v>0</v>
      </c>
      <c r="E24" s="345"/>
      <c r="F24" s="345">
        <v>1</v>
      </c>
      <c r="G24" s="345">
        <v>0</v>
      </c>
      <c r="H24" s="45">
        <f t="shared" si="1"/>
        <v>0</v>
      </c>
      <c r="I24" s="335"/>
      <c r="J24" s="344"/>
      <c r="K24" s="407"/>
      <c r="L24" s="407"/>
      <c r="M24" s="407"/>
      <c r="N24" s="407"/>
      <c r="O24" s="407"/>
      <c r="Q24" s="335"/>
    </row>
    <row r="25" spans="1:20" x14ac:dyDescent="0.2">
      <c r="A25" s="35">
        <v>34</v>
      </c>
      <c r="B25" s="51">
        <v>3</v>
      </c>
      <c r="C25" s="212"/>
      <c r="D25" s="345">
        <v>1</v>
      </c>
      <c r="E25" s="345"/>
      <c r="F25" s="345">
        <v>0</v>
      </c>
      <c r="G25" s="345">
        <v>0</v>
      </c>
      <c r="H25" s="45">
        <f t="shared" si="1"/>
        <v>-3</v>
      </c>
      <c r="I25" s="335"/>
      <c r="J25" s="338" t="s">
        <v>84</v>
      </c>
      <c r="K25" s="141">
        <v>7</v>
      </c>
      <c r="L25" s="141">
        <v>0</v>
      </c>
      <c r="M25" s="141">
        <v>0</v>
      </c>
      <c r="N25" s="141">
        <v>0</v>
      </c>
      <c r="O25" s="44">
        <f>(K25+N25)-M25</f>
        <v>7</v>
      </c>
      <c r="Q25" s="335"/>
    </row>
    <row r="26" spans="1:20" ht="12" customHeight="1" x14ac:dyDescent="0.2">
      <c r="A26" s="35">
        <v>41</v>
      </c>
      <c r="B26" s="51">
        <v>3</v>
      </c>
      <c r="C26" s="212"/>
      <c r="D26" s="345">
        <v>1</v>
      </c>
      <c r="E26" s="345"/>
      <c r="F26" s="345">
        <v>0</v>
      </c>
      <c r="G26" s="345">
        <v>0</v>
      </c>
      <c r="H26" s="45">
        <f t="shared" si="1"/>
        <v>-3</v>
      </c>
      <c r="I26" s="335"/>
      <c r="J26" s="332" t="s">
        <v>30</v>
      </c>
      <c r="K26" s="346">
        <v>0</v>
      </c>
      <c r="L26" s="346">
        <v>3</v>
      </c>
      <c r="M26" s="346">
        <v>0</v>
      </c>
      <c r="N26" s="346">
        <v>1</v>
      </c>
      <c r="O26" s="45">
        <f t="shared" ref="O26:O29" si="2">(K26+N26)-M26</f>
        <v>1</v>
      </c>
      <c r="Q26" s="335"/>
    </row>
    <row r="27" spans="1:20" ht="12" customHeight="1" x14ac:dyDescent="0.2">
      <c r="A27" s="35">
        <v>42</v>
      </c>
      <c r="B27" s="51">
        <v>3</v>
      </c>
      <c r="C27" s="212"/>
      <c r="D27" s="345">
        <v>0</v>
      </c>
      <c r="E27" s="345"/>
      <c r="F27" s="345">
        <v>0</v>
      </c>
      <c r="G27" s="345">
        <v>0</v>
      </c>
      <c r="H27" s="45">
        <f t="shared" si="1"/>
        <v>-3</v>
      </c>
      <c r="I27" s="335"/>
      <c r="J27" s="332" t="s">
        <v>29</v>
      </c>
      <c r="K27" s="346">
        <v>3</v>
      </c>
      <c r="L27" s="346">
        <v>4</v>
      </c>
      <c r="M27" s="346">
        <v>0</v>
      </c>
      <c r="N27" s="346">
        <v>1</v>
      </c>
      <c r="O27" s="45">
        <f t="shared" si="2"/>
        <v>4</v>
      </c>
      <c r="Q27" s="335"/>
    </row>
    <row r="28" spans="1:20" ht="12.75" customHeight="1" x14ac:dyDescent="0.2">
      <c r="A28" s="35">
        <v>43</v>
      </c>
      <c r="B28" s="51">
        <v>5</v>
      </c>
      <c r="C28" s="212"/>
      <c r="D28" s="345">
        <v>0</v>
      </c>
      <c r="E28" s="345"/>
      <c r="F28" s="345">
        <v>3</v>
      </c>
      <c r="G28" s="345">
        <v>1</v>
      </c>
      <c r="H28" s="45">
        <f t="shared" si="1"/>
        <v>-1</v>
      </c>
      <c r="I28" s="335"/>
      <c r="J28" s="332" t="s">
        <v>27</v>
      </c>
      <c r="K28" s="346">
        <v>0</v>
      </c>
      <c r="L28" s="346">
        <v>0</v>
      </c>
      <c r="M28" s="346">
        <v>0</v>
      </c>
      <c r="N28" s="346">
        <v>0</v>
      </c>
      <c r="O28" s="45">
        <f t="shared" si="2"/>
        <v>0</v>
      </c>
      <c r="Q28" s="335"/>
    </row>
    <row r="29" spans="1:20" ht="12.75" thickBot="1" x14ac:dyDescent="0.25">
      <c r="A29" s="35">
        <v>44</v>
      </c>
      <c r="B29" s="51">
        <v>5</v>
      </c>
      <c r="C29" s="212"/>
      <c r="D29" s="345">
        <v>0</v>
      </c>
      <c r="E29" s="345"/>
      <c r="F29" s="345">
        <v>0</v>
      </c>
      <c r="G29" s="345">
        <v>1</v>
      </c>
      <c r="H29" s="45">
        <f t="shared" si="1"/>
        <v>-4</v>
      </c>
      <c r="I29" s="335"/>
      <c r="J29" s="334" t="s">
        <v>28</v>
      </c>
      <c r="K29" s="103">
        <v>1</v>
      </c>
      <c r="L29" s="103">
        <v>2</v>
      </c>
      <c r="M29" s="103">
        <v>0</v>
      </c>
      <c r="N29" s="103">
        <v>1</v>
      </c>
      <c r="O29" s="40">
        <f t="shared" si="2"/>
        <v>2</v>
      </c>
      <c r="Q29" s="335"/>
    </row>
    <row r="30" spans="1:20" ht="12.75" thickBot="1" x14ac:dyDescent="0.25">
      <c r="A30" s="124">
        <v>51</v>
      </c>
      <c r="B30" s="125">
        <v>3</v>
      </c>
      <c r="C30" s="234"/>
      <c r="D30" s="126">
        <v>0</v>
      </c>
      <c r="E30" s="126"/>
      <c r="F30" s="126">
        <v>2</v>
      </c>
      <c r="G30" s="126">
        <v>0</v>
      </c>
      <c r="H30" s="45">
        <f t="shared" si="1"/>
        <v>-1</v>
      </c>
      <c r="I30" s="335"/>
      <c r="Q30" s="335"/>
    </row>
    <row r="31" spans="1:20" ht="13.5" thickBot="1" x14ac:dyDescent="0.25">
      <c r="A31" s="7">
        <v>54</v>
      </c>
      <c r="B31" s="52">
        <v>1</v>
      </c>
      <c r="C31" s="213"/>
      <c r="D31" s="348">
        <v>0</v>
      </c>
      <c r="E31" s="348"/>
      <c r="F31" s="235">
        <v>0</v>
      </c>
      <c r="G31" s="235">
        <v>0</v>
      </c>
      <c r="H31" s="45">
        <f t="shared" si="1"/>
        <v>-1</v>
      </c>
      <c r="I31" s="335"/>
      <c r="J31" s="474" t="s">
        <v>69</v>
      </c>
      <c r="K31" s="475"/>
      <c r="L31" s="475"/>
      <c r="M31" s="475"/>
      <c r="N31" s="476"/>
      <c r="O31" s="68"/>
      <c r="P31" s="17"/>
      <c r="Q31" s="335"/>
    </row>
    <row r="32" spans="1:20" ht="12" customHeight="1" thickBot="1" x14ac:dyDescent="0.25">
      <c r="A32" s="39" t="s">
        <v>22</v>
      </c>
      <c r="B32" s="12">
        <f>SUM(B18:B31)</f>
        <v>68</v>
      </c>
      <c r="C32" s="12"/>
      <c r="D32" s="13">
        <f>SUM(D18:D30)</f>
        <v>3</v>
      </c>
      <c r="E32" s="13">
        <f>SUM(E18:E30)</f>
        <v>4</v>
      </c>
      <c r="F32" s="14">
        <f>SUM(F18:F30)</f>
        <v>15</v>
      </c>
      <c r="G32" s="14">
        <f>SUM(G18:G30)</f>
        <v>8</v>
      </c>
      <c r="H32" s="14">
        <f>SUM(H18:H31)</f>
        <v>-49</v>
      </c>
      <c r="I32" s="335"/>
      <c r="J32" s="408" t="s">
        <v>9</v>
      </c>
      <c r="K32" s="465" t="s">
        <v>15</v>
      </c>
      <c r="L32" s="680"/>
      <c r="M32" s="614" t="s">
        <v>33</v>
      </c>
      <c r="N32" s="680"/>
      <c r="O32" s="18"/>
      <c r="P32" s="335"/>
      <c r="Q32" s="335"/>
    </row>
    <row r="33" spans="1:17" ht="13.5" thickBot="1" x14ac:dyDescent="0.25">
      <c r="A33" s="42"/>
      <c r="B33" s="222"/>
      <c r="C33" s="222"/>
      <c r="D33" s="335"/>
      <c r="E33" s="335"/>
      <c r="F33" s="6"/>
      <c r="G33" s="335"/>
      <c r="H33" s="11"/>
      <c r="I33" s="335"/>
      <c r="J33" s="599"/>
      <c r="K33" s="681"/>
      <c r="L33" s="682"/>
      <c r="M33" s="681"/>
      <c r="N33" s="682"/>
      <c r="O33" s="18"/>
      <c r="P33" s="18"/>
      <c r="Q33" s="335"/>
    </row>
    <row r="34" spans="1:17" ht="12.75" x14ac:dyDescent="0.2">
      <c r="A34" s="34" t="s">
        <v>11</v>
      </c>
      <c r="B34" s="50">
        <v>8</v>
      </c>
      <c r="C34" s="214"/>
      <c r="D34" s="347">
        <v>2</v>
      </c>
      <c r="E34" s="347">
        <v>0</v>
      </c>
      <c r="F34" s="347">
        <v>1</v>
      </c>
      <c r="G34" s="347">
        <v>3</v>
      </c>
      <c r="H34" s="44">
        <f>(F34+G34)-(B34+E34)</f>
        <v>-4</v>
      </c>
      <c r="I34" s="335"/>
      <c r="J34" s="108" t="s">
        <v>182</v>
      </c>
      <c r="K34" s="683">
        <v>10</v>
      </c>
      <c r="L34" s="501"/>
      <c r="M34" s="683">
        <v>6</v>
      </c>
      <c r="N34" s="502"/>
      <c r="O34" s="69"/>
      <c r="P34" s="335"/>
      <c r="Q34" s="335"/>
    </row>
    <row r="35" spans="1:17" ht="12.75" x14ac:dyDescent="0.2">
      <c r="A35" s="35" t="s">
        <v>16</v>
      </c>
      <c r="B35" s="51">
        <v>6</v>
      </c>
      <c r="C35" s="212"/>
      <c r="D35" s="345">
        <v>3</v>
      </c>
      <c r="E35" s="345"/>
      <c r="F35" s="345">
        <v>1</v>
      </c>
      <c r="G35" s="345">
        <v>0</v>
      </c>
      <c r="H35" s="45">
        <f t="shared" ref="H35:H40" si="3">(F35+G35)-(B35+E35)</f>
        <v>-5</v>
      </c>
      <c r="I35" s="335"/>
      <c r="J35" s="109">
        <v>13</v>
      </c>
      <c r="K35" s="586">
        <v>12</v>
      </c>
      <c r="L35" s="684"/>
      <c r="M35" s="685">
        <v>14</v>
      </c>
      <c r="N35" s="505"/>
      <c r="O35" s="17"/>
      <c r="P35" s="335"/>
      <c r="Q35" s="335"/>
    </row>
    <row r="36" spans="1:17" ht="12.75" x14ac:dyDescent="0.2">
      <c r="A36" s="35">
        <v>10</v>
      </c>
      <c r="B36" s="125">
        <v>4</v>
      </c>
      <c r="C36" s="212"/>
      <c r="D36" s="349">
        <v>6</v>
      </c>
      <c r="E36" s="345"/>
      <c r="F36" s="345">
        <v>2</v>
      </c>
      <c r="G36" s="345">
        <v>1</v>
      </c>
      <c r="H36" s="45">
        <f t="shared" si="3"/>
        <v>-1</v>
      </c>
      <c r="I36" s="335"/>
      <c r="J36" s="109"/>
      <c r="K36" s="586">
        <v>0</v>
      </c>
      <c r="L36" s="684"/>
      <c r="M36" s="686"/>
      <c r="N36" s="505"/>
      <c r="O36" s="17"/>
      <c r="P36" s="335"/>
      <c r="Q36" s="335"/>
    </row>
    <row r="37" spans="1:17" ht="12.75" x14ac:dyDescent="0.2">
      <c r="A37" s="35">
        <v>9</v>
      </c>
      <c r="B37" s="51">
        <v>4</v>
      </c>
      <c r="C37" s="212"/>
      <c r="D37" s="345">
        <v>1</v>
      </c>
      <c r="E37" s="345"/>
      <c r="F37" s="345">
        <v>3</v>
      </c>
      <c r="G37" s="345">
        <v>0</v>
      </c>
      <c r="H37" s="45">
        <f>(F37+G37)-(B37+E37)</f>
        <v>-1</v>
      </c>
      <c r="I37" s="335"/>
      <c r="J37" s="109"/>
      <c r="K37" s="586">
        <v>0</v>
      </c>
      <c r="L37" s="684"/>
      <c r="M37" s="686"/>
      <c r="N37" s="687"/>
      <c r="O37" s="17"/>
      <c r="P37" s="335"/>
      <c r="Q37" s="335"/>
    </row>
    <row r="38" spans="1:17" ht="13.5" customHeight="1" x14ac:dyDescent="0.2">
      <c r="A38" s="35">
        <v>52</v>
      </c>
      <c r="B38" s="193">
        <v>6</v>
      </c>
      <c r="C38" s="212"/>
      <c r="D38" s="345">
        <v>0</v>
      </c>
      <c r="E38" s="345"/>
      <c r="F38" s="345">
        <v>3</v>
      </c>
      <c r="G38" s="345">
        <v>0</v>
      </c>
      <c r="H38" s="45">
        <f t="shared" si="3"/>
        <v>-3</v>
      </c>
      <c r="I38" s="335"/>
      <c r="J38" s="109"/>
      <c r="K38" s="586">
        <v>0</v>
      </c>
      <c r="L38" s="586"/>
      <c r="M38" s="685"/>
      <c r="N38" s="688"/>
      <c r="O38" s="17"/>
      <c r="P38" s="335"/>
      <c r="Q38" s="335"/>
    </row>
    <row r="39" spans="1:17" ht="13.5" customHeight="1" x14ac:dyDescent="0.2">
      <c r="A39" s="35">
        <v>53</v>
      </c>
      <c r="B39" s="51">
        <v>6</v>
      </c>
      <c r="C39" s="212"/>
      <c r="D39" s="345">
        <v>1</v>
      </c>
      <c r="E39" s="345"/>
      <c r="F39" s="345">
        <v>1</v>
      </c>
      <c r="G39" s="345">
        <v>0</v>
      </c>
      <c r="H39" s="45">
        <f t="shared" si="3"/>
        <v>-5</v>
      </c>
      <c r="I39" s="335"/>
      <c r="J39" s="109"/>
      <c r="K39" s="586">
        <v>0</v>
      </c>
      <c r="L39" s="586"/>
      <c r="M39" s="685"/>
      <c r="N39" s="688"/>
      <c r="O39" s="17"/>
      <c r="P39" s="335"/>
      <c r="Q39" s="335"/>
    </row>
    <row r="40" spans="1:17" ht="13.5" thickBot="1" x14ac:dyDescent="0.25">
      <c r="A40" s="35">
        <v>54</v>
      </c>
      <c r="B40" s="52">
        <v>6</v>
      </c>
      <c r="C40" s="212"/>
      <c r="D40" s="345">
        <v>0</v>
      </c>
      <c r="E40" s="345"/>
      <c r="F40" s="345">
        <v>2</v>
      </c>
      <c r="G40" s="345">
        <v>0</v>
      </c>
      <c r="H40" s="45">
        <f t="shared" si="3"/>
        <v>-4</v>
      </c>
      <c r="I40" s="335"/>
      <c r="J40" s="219"/>
      <c r="K40" s="492">
        <v>0</v>
      </c>
      <c r="L40" s="689"/>
      <c r="M40" s="690"/>
      <c r="N40" s="691"/>
      <c r="O40" s="17"/>
      <c r="P40" s="335"/>
      <c r="Q40" s="335"/>
    </row>
    <row r="41" spans="1:17" ht="12.75" thickBot="1" x14ac:dyDescent="0.25">
      <c r="A41" s="7" t="s">
        <v>71</v>
      </c>
      <c r="B41" s="197"/>
      <c r="C41" s="197"/>
      <c r="D41" s="197"/>
      <c r="E41" s="348"/>
      <c r="F41" s="197"/>
      <c r="G41" s="197"/>
      <c r="H41" s="198"/>
      <c r="I41" s="335"/>
      <c r="J41" s="563" t="s">
        <v>109</v>
      </c>
      <c r="K41" s="564"/>
      <c r="L41" s="567" t="s">
        <v>110</v>
      </c>
      <c r="M41" s="569" t="s">
        <v>20</v>
      </c>
      <c r="N41" s="561" t="s">
        <v>111</v>
      </c>
      <c r="O41" s="17"/>
      <c r="P41" s="335"/>
    </row>
    <row r="42" spans="1:17" ht="12.75" thickBot="1" x14ac:dyDescent="0.25">
      <c r="A42" s="39" t="s">
        <v>22</v>
      </c>
      <c r="B42" s="12">
        <f>SUM(B34:B40)</f>
        <v>40</v>
      </c>
      <c r="C42" s="12"/>
      <c r="D42" s="13">
        <f>SUM(D34:D40)</f>
        <v>13</v>
      </c>
      <c r="E42" s="13">
        <f>SUM(E34:E41)</f>
        <v>0</v>
      </c>
      <c r="F42" s="13">
        <f>SUM(F34:F40)</f>
        <v>13</v>
      </c>
      <c r="G42" s="13">
        <f>SUM(G34:G40)</f>
        <v>4</v>
      </c>
      <c r="H42" s="14">
        <f>SUM(H34:H40)</f>
        <v>-23</v>
      </c>
      <c r="I42" s="335"/>
      <c r="J42" s="565"/>
      <c r="K42" s="566"/>
      <c r="L42" s="568"/>
      <c r="M42" s="570"/>
      <c r="N42" s="562"/>
      <c r="O42" s="17"/>
      <c r="P42" s="335"/>
    </row>
    <row r="43" spans="1:17" ht="12.75" thickBot="1" x14ac:dyDescent="0.25">
      <c r="A43" s="42"/>
      <c r="B43" s="222"/>
      <c r="C43" s="222"/>
      <c r="D43" s="335"/>
      <c r="E43" s="335"/>
      <c r="F43" s="6"/>
      <c r="G43" s="335"/>
      <c r="H43" s="11"/>
      <c r="I43" s="335"/>
      <c r="J43" s="593" t="s">
        <v>108</v>
      </c>
      <c r="K43" s="594"/>
      <c r="L43" s="594"/>
      <c r="M43" s="594"/>
      <c r="N43" s="595"/>
      <c r="O43" s="17"/>
      <c r="P43" s="335"/>
    </row>
    <row r="44" spans="1:17" ht="12.75" customHeight="1" x14ac:dyDescent="0.2">
      <c r="A44" s="34">
        <v>31</v>
      </c>
      <c r="B44" s="50">
        <v>4</v>
      </c>
      <c r="C44" s="214"/>
      <c r="D44" s="347">
        <v>2</v>
      </c>
      <c r="E44" s="347"/>
      <c r="F44" s="347">
        <v>0</v>
      </c>
      <c r="G44" s="347">
        <v>1</v>
      </c>
      <c r="H44" s="44">
        <f>(F44+G44)-(B44+E44)</f>
        <v>-3</v>
      </c>
      <c r="I44" s="335"/>
      <c r="J44" s="571">
        <v>3</v>
      </c>
      <c r="K44" s="572"/>
      <c r="L44" s="575">
        <v>1</v>
      </c>
      <c r="M44" s="575">
        <v>2</v>
      </c>
      <c r="N44" s="577"/>
    </row>
    <row r="45" spans="1:17" ht="13.5" customHeight="1" thickBot="1" x14ac:dyDescent="0.25">
      <c r="A45" s="7">
        <v>33</v>
      </c>
      <c r="B45" s="52">
        <v>4</v>
      </c>
      <c r="C45" s="213"/>
      <c r="D45" s="348">
        <v>2</v>
      </c>
      <c r="E45" s="348"/>
      <c r="F45" s="348">
        <v>0</v>
      </c>
      <c r="G45" s="348">
        <v>0</v>
      </c>
      <c r="H45" s="40">
        <f>(F45+G45)-(B45+E45)</f>
        <v>-4</v>
      </c>
      <c r="I45" s="335"/>
      <c r="J45" s="573"/>
      <c r="K45" s="574"/>
      <c r="L45" s="576"/>
      <c r="M45" s="576"/>
      <c r="N45" s="578"/>
      <c r="O45" s="343" t="s">
        <v>6</v>
      </c>
    </row>
    <row r="46" spans="1:17" ht="15.75" customHeight="1" thickBot="1" x14ac:dyDescent="0.25">
      <c r="A46" s="130" t="s">
        <v>22</v>
      </c>
      <c r="B46" s="131">
        <f t="shared" ref="B46:H46" si="4">SUM(B44:B45)</f>
        <v>8</v>
      </c>
      <c r="C46" s="131"/>
      <c r="D46" s="132">
        <f t="shared" si="4"/>
        <v>4</v>
      </c>
      <c r="E46" s="132">
        <f t="shared" si="4"/>
        <v>0</v>
      </c>
      <c r="F46" s="133">
        <f t="shared" si="4"/>
        <v>0</v>
      </c>
      <c r="G46" s="133">
        <f t="shared" si="4"/>
        <v>1</v>
      </c>
      <c r="H46" s="133">
        <f t="shared" si="4"/>
        <v>-7</v>
      </c>
      <c r="J46" s="692" t="s">
        <v>118</v>
      </c>
      <c r="K46" s="693"/>
      <c r="L46" s="693"/>
      <c r="M46" s="693"/>
      <c r="N46" s="694"/>
    </row>
    <row r="47" spans="1:17" ht="15.75" customHeight="1" x14ac:dyDescent="0.2">
      <c r="D47" s="4"/>
      <c r="E47" s="4"/>
      <c r="F47" s="4"/>
      <c r="G47" s="4"/>
      <c r="H47" s="11"/>
      <c r="J47" s="695">
        <v>1</v>
      </c>
      <c r="K47" s="696"/>
      <c r="L47" s="699"/>
      <c r="M47" s="699"/>
      <c r="N47" s="701">
        <v>1</v>
      </c>
    </row>
    <row r="48" spans="1:17" ht="12.75" thickBot="1" x14ac:dyDescent="0.25">
      <c r="J48" s="697"/>
      <c r="K48" s="698"/>
      <c r="L48" s="700"/>
      <c r="M48" s="700"/>
      <c r="N48" s="702"/>
    </row>
    <row r="49" spans="7:14" x14ac:dyDescent="0.2">
      <c r="J49" s="335"/>
    </row>
    <row r="50" spans="7:14" x14ac:dyDescent="0.2">
      <c r="L50" s="343" t="s">
        <v>6</v>
      </c>
      <c r="N50" s="343" t="s">
        <v>6</v>
      </c>
    </row>
    <row r="52" spans="7:14" x14ac:dyDescent="0.2">
      <c r="J52" s="343" t="s">
        <v>6</v>
      </c>
    </row>
    <row r="54" spans="7:14" x14ac:dyDescent="0.2">
      <c r="G54" s="343" t="s">
        <v>119</v>
      </c>
    </row>
  </sheetData>
  <sheetProtection password="9D31" sheet="1" objects="1" scenarios="1" selectLockedCells="1"/>
  <mergeCells count="77">
    <mergeCell ref="J46:N46"/>
    <mergeCell ref="J47:K48"/>
    <mergeCell ref="L47:L48"/>
    <mergeCell ref="M47:M48"/>
    <mergeCell ref="N47:N48"/>
    <mergeCell ref="J44:K45"/>
    <mergeCell ref="L44:L45"/>
    <mergeCell ref="M44:M45"/>
    <mergeCell ref="N44:N45"/>
    <mergeCell ref="K38:L38"/>
    <mergeCell ref="M38:N38"/>
    <mergeCell ref="K39:L39"/>
    <mergeCell ref="M39:N39"/>
    <mergeCell ref="K40:L40"/>
    <mergeCell ref="M40:N40"/>
    <mergeCell ref="J41:K42"/>
    <mergeCell ref="L41:L42"/>
    <mergeCell ref="M41:M42"/>
    <mergeCell ref="N41:N42"/>
    <mergeCell ref="J43:N43"/>
    <mergeCell ref="K35:L35"/>
    <mergeCell ref="M35:N35"/>
    <mergeCell ref="K36:L36"/>
    <mergeCell ref="M36:N36"/>
    <mergeCell ref="K37:L37"/>
    <mergeCell ref="M37:N37"/>
    <mergeCell ref="J31:N31"/>
    <mergeCell ref="J32:J33"/>
    <mergeCell ref="K32:L33"/>
    <mergeCell ref="M32:N33"/>
    <mergeCell ref="K34:L34"/>
    <mergeCell ref="M34:N34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A13:E13"/>
    <mergeCell ref="H13:J13"/>
    <mergeCell ref="M13:N13"/>
    <mergeCell ref="A16:H16"/>
    <mergeCell ref="J16:P16"/>
    <mergeCell ref="A11:E11"/>
    <mergeCell ref="H11:J11"/>
    <mergeCell ref="M11:N11"/>
    <mergeCell ref="A12:E12"/>
    <mergeCell ref="H12:J12"/>
    <mergeCell ref="M12:N12"/>
    <mergeCell ref="A9:E9"/>
    <mergeCell ref="H9:J9"/>
    <mergeCell ref="M9:N9"/>
    <mergeCell ref="A10:E10"/>
    <mergeCell ref="H10:J10"/>
    <mergeCell ref="M10:N10"/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</mergeCells>
  <conditionalFormatting sqref="F34:F36 F38:F40 F18:F31">
    <cfRule type="cellIs" dxfId="102" priority="28" operator="greaterThanOrEqual">
      <formula>B18</formula>
    </cfRule>
  </conditionalFormatting>
  <conditionalFormatting sqref="G18:G31">
    <cfRule type="cellIs" dxfId="101" priority="27" operator="greaterThan">
      <formula>0</formula>
    </cfRule>
  </conditionalFormatting>
  <conditionalFormatting sqref="H44:H45 H34:H40 H18:H31">
    <cfRule type="cellIs" dxfId="100" priority="26" operator="lessThan">
      <formula>0</formula>
    </cfRule>
  </conditionalFormatting>
  <conditionalFormatting sqref="H44:H45 H34:H40 H18:H31">
    <cfRule type="cellIs" dxfId="99" priority="25" operator="greaterThanOrEqual">
      <formula>0</formula>
    </cfRule>
  </conditionalFormatting>
  <conditionalFormatting sqref="G18:G31">
    <cfRule type="cellIs" dxfId="98" priority="24" operator="equal">
      <formula>0</formula>
    </cfRule>
  </conditionalFormatting>
  <conditionalFormatting sqref="F34:F36 F38:F40 F18:F31">
    <cfRule type="cellIs" dxfId="97" priority="23" operator="lessThan">
      <formula>B18</formula>
    </cfRule>
  </conditionalFormatting>
  <conditionalFormatting sqref="G34:G36 G38:G40">
    <cfRule type="cellIs" dxfId="96" priority="21" operator="greaterThan">
      <formula>0</formula>
    </cfRule>
    <cfRule type="cellIs" dxfId="95" priority="22" operator="equal">
      <formula>0</formula>
    </cfRule>
  </conditionalFormatting>
  <conditionalFormatting sqref="H34:H40">
    <cfRule type="cellIs" dxfId="94" priority="19" operator="greaterThanOrEqual">
      <formula>0</formula>
    </cfRule>
    <cfRule type="cellIs" dxfId="93" priority="20" operator="lessThan">
      <formula>0</formula>
    </cfRule>
  </conditionalFormatting>
  <conditionalFormatting sqref="F44:F45">
    <cfRule type="cellIs" dxfId="92" priority="18" operator="lessThan">
      <formula>B44</formula>
    </cfRule>
  </conditionalFormatting>
  <conditionalFormatting sqref="F44:F45">
    <cfRule type="cellIs" dxfId="91" priority="17" operator="greaterThanOrEqual">
      <formula>B44</formula>
    </cfRule>
  </conditionalFormatting>
  <conditionalFormatting sqref="G37 G44:G45">
    <cfRule type="cellIs" dxfId="90" priority="15" operator="equal">
      <formula>0</formula>
    </cfRule>
    <cfRule type="cellIs" dxfId="89" priority="16" operator="greaterThan">
      <formula>0</formula>
    </cfRule>
  </conditionalFormatting>
  <conditionalFormatting sqref="H44:H45">
    <cfRule type="cellIs" dxfId="88" priority="13" operator="lessThan">
      <formula>0</formula>
    </cfRule>
    <cfRule type="cellIs" dxfId="87" priority="14" operator="greaterThanOrEqual">
      <formula>0</formula>
    </cfRule>
  </conditionalFormatting>
  <conditionalFormatting sqref="F37">
    <cfRule type="cellIs" dxfId="86" priority="11" operator="greaterThanOrEqual">
      <formula>$B$37</formula>
    </cfRule>
    <cfRule type="cellIs" dxfId="85" priority="12" operator="lessThan">
      <formula>$B$37</formula>
    </cfRule>
  </conditionalFormatting>
  <conditionalFormatting sqref="Q18:Q20 O18:O20 Q25:Q29">
    <cfRule type="cellIs" dxfId="84" priority="10" operator="between">
      <formula>1</formula>
      <formula>9</formula>
    </cfRule>
  </conditionalFormatting>
  <conditionalFormatting sqref="N18">
    <cfRule type="cellIs" dxfId="83" priority="9" operator="greaterThan">
      <formula>0</formula>
    </cfRule>
  </conditionalFormatting>
  <conditionalFormatting sqref="M18 M34:N37 N40 M38:M40">
    <cfRule type="cellIs" dxfId="82" priority="8" operator="greaterThan">
      <formula>0</formula>
    </cfRule>
  </conditionalFormatting>
  <conditionalFormatting sqref="O13 F13 K13">
    <cfRule type="cellIs" dxfId="81" priority="6" operator="greaterThan">
      <formula>-1</formula>
    </cfRule>
    <cfRule type="cellIs" dxfId="80" priority="7" operator="lessThan">
      <formula>0</formula>
    </cfRule>
  </conditionalFormatting>
  <conditionalFormatting sqref="O18:O20">
    <cfRule type="cellIs" dxfId="79" priority="5" operator="greaterThan">
      <formula>0</formula>
    </cfRule>
  </conditionalFormatting>
  <conditionalFormatting sqref="O25:O29">
    <cfRule type="cellIs" dxfId="78" priority="3" operator="lessThanOrEqual">
      <formula>0</formula>
    </cfRule>
    <cfRule type="cellIs" dxfId="77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U54"/>
  <sheetViews>
    <sheetView showGridLines="0" workbookViewId="0">
      <selection activeCell="K9" sqref="K9"/>
    </sheetView>
  </sheetViews>
  <sheetFormatPr defaultColWidth="9.140625" defaultRowHeight="12" x14ac:dyDescent="0.2"/>
  <cols>
    <col min="1" max="1" width="9.42578125" style="58" customWidth="1"/>
    <col min="2" max="2" width="13.140625" style="58" customWidth="1"/>
    <col min="3" max="3" width="13.140625" style="203" customWidth="1"/>
    <col min="4" max="4" width="9.140625" style="58" customWidth="1"/>
    <col min="5" max="5" width="12.42578125" style="58" customWidth="1"/>
    <col min="6" max="6" width="13.42578125" style="58" customWidth="1"/>
    <col min="7" max="7" width="10" style="58" customWidth="1"/>
    <col min="8" max="8" width="9.5703125" style="58" customWidth="1"/>
    <col min="9" max="10" width="11" style="58" customWidth="1"/>
    <col min="11" max="11" width="9.85546875" style="58" customWidth="1"/>
    <col min="12" max="12" width="13.42578125" style="58" customWidth="1"/>
    <col min="13" max="13" width="15" style="58" customWidth="1"/>
    <col min="14" max="15" width="11.42578125" style="58" customWidth="1"/>
    <col min="16" max="16" width="12.42578125" style="58" customWidth="1"/>
    <col min="17" max="17" width="10.42578125" style="58" customWidth="1"/>
    <col min="18" max="18" width="9.5703125" style="58" customWidth="1"/>
    <col min="19" max="19" width="10" style="58" customWidth="1"/>
    <col min="20" max="20" width="8.5703125" style="58" customWidth="1"/>
    <col min="21" max="16384" width="9.140625" style="58"/>
  </cols>
  <sheetData>
    <row r="1" spans="1:21" ht="21" customHeight="1" thickBot="1" x14ac:dyDescent="0.25">
      <c r="A1" s="413" t="s">
        <v>42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4"/>
      <c r="P1" s="60"/>
      <c r="Q1" s="60"/>
      <c r="R1" s="60"/>
      <c r="S1" s="60"/>
      <c r="T1" s="60"/>
      <c r="U1" s="5"/>
    </row>
    <row r="2" spans="1:21" ht="8.25" customHeight="1" thickBot="1" x14ac:dyDescent="0.25">
      <c r="A2" s="641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642"/>
      <c r="S2" s="642"/>
      <c r="T2" s="642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643" t="s">
        <v>208</v>
      </c>
      <c r="G3" s="661"/>
      <c r="H3" s="21"/>
      <c r="I3" s="97" t="s">
        <v>51</v>
      </c>
      <c r="J3" s="643" t="s">
        <v>209</v>
      </c>
      <c r="K3" s="644"/>
      <c r="L3" s="22"/>
      <c r="M3" s="97" t="s">
        <v>2</v>
      </c>
      <c r="N3" s="353">
        <v>0.70833333333333337</v>
      </c>
      <c r="O3" s="22"/>
      <c r="P3" s="23"/>
      <c r="Q3" s="22"/>
      <c r="R3" s="19"/>
      <c r="S3" s="19"/>
      <c r="T3" s="22"/>
    </row>
    <row r="4" spans="1:21" ht="16.5" customHeight="1" thickBot="1" x14ac:dyDescent="0.25">
      <c r="K4" s="9"/>
      <c r="L4" s="9"/>
      <c r="M4" s="9"/>
      <c r="N4" s="9"/>
      <c r="O4" s="9"/>
      <c r="P4" s="9"/>
      <c r="Q4" s="9"/>
      <c r="R4" s="17"/>
      <c r="S4" s="17"/>
      <c r="T4" s="9"/>
    </row>
    <row r="5" spans="1:21" ht="18" customHeight="1" thickBot="1" x14ac:dyDescent="0.25">
      <c r="A5" s="662" t="s">
        <v>5</v>
      </c>
      <c r="B5" s="663"/>
      <c r="C5" s="663"/>
      <c r="D5" s="663"/>
      <c r="E5" s="663"/>
      <c r="F5" s="664"/>
      <c r="G5" s="5"/>
      <c r="H5" s="662" t="s">
        <v>7</v>
      </c>
      <c r="I5" s="663"/>
      <c r="J5" s="663"/>
      <c r="K5" s="664"/>
      <c r="M5" s="665" t="s">
        <v>13</v>
      </c>
      <c r="N5" s="473"/>
      <c r="O5" s="439"/>
      <c r="P5" s="67"/>
      <c r="S5" s="9"/>
    </row>
    <row r="6" spans="1:21" ht="17.25" customHeight="1" x14ac:dyDescent="0.2">
      <c r="A6" s="650" t="s">
        <v>17</v>
      </c>
      <c r="B6" s="651"/>
      <c r="C6" s="651"/>
      <c r="D6" s="651"/>
      <c r="E6" s="651"/>
      <c r="F6" s="27">
        <f>'Sitrep 0830'!E6</f>
        <v>0</v>
      </c>
      <c r="G6" s="9"/>
      <c r="H6" s="650" t="s">
        <v>17</v>
      </c>
      <c r="I6" s="651"/>
      <c r="J6" s="651"/>
      <c r="K6" s="27">
        <f>'Sitrep 0830'!J6</f>
        <v>0</v>
      </c>
      <c r="M6" s="650" t="s">
        <v>17</v>
      </c>
      <c r="N6" s="666"/>
      <c r="O6" s="27">
        <f>F6+K6</f>
        <v>0</v>
      </c>
      <c r="S6" s="17"/>
    </row>
    <row r="7" spans="1:21" ht="12" customHeight="1" x14ac:dyDescent="0.2">
      <c r="A7" s="652" t="s">
        <v>18</v>
      </c>
      <c r="B7" s="653"/>
      <c r="C7" s="653"/>
      <c r="D7" s="653"/>
      <c r="E7" s="653"/>
      <c r="F7" s="28">
        <f>'Sitrep 0830'!E7</f>
        <v>58</v>
      </c>
      <c r="G7" s="26"/>
      <c r="H7" s="56" t="s">
        <v>18</v>
      </c>
      <c r="I7" s="57"/>
      <c r="J7" s="57"/>
      <c r="K7" s="28">
        <f>'Sitrep 0830'!J7</f>
        <v>23</v>
      </c>
      <c r="M7" s="652" t="s">
        <v>14</v>
      </c>
      <c r="N7" s="660"/>
      <c r="O7" s="28">
        <f t="shared" ref="O7:O13" si="0">F7+K7</f>
        <v>81</v>
      </c>
      <c r="S7" s="9"/>
    </row>
    <row r="8" spans="1:21" ht="12" customHeight="1" x14ac:dyDescent="0.2">
      <c r="A8" s="652" t="s">
        <v>19</v>
      </c>
      <c r="B8" s="653"/>
      <c r="C8" s="653"/>
      <c r="D8" s="653"/>
      <c r="E8" s="653"/>
      <c r="F8" s="29">
        <f>SUM(F6:F7)</f>
        <v>58</v>
      </c>
      <c r="G8" s="26"/>
      <c r="H8" s="619" t="s">
        <v>19</v>
      </c>
      <c r="I8" s="620"/>
      <c r="J8" s="620"/>
      <c r="K8" s="29">
        <f>SUM(K6:K7)</f>
        <v>23</v>
      </c>
      <c r="M8" s="652" t="s">
        <v>19</v>
      </c>
      <c r="N8" s="660"/>
      <c r="O8" s="29">
        <f t="shared" si="0"/>
        <v>81</v>
      </c>
      <c r="S8" s="9"/>
    </row>
    <row r="9" spans="1:21" ht="12" customHeight="1" x14ac:dyDescent="0.2">
      <c r="A9" s="654" t="s">
        <v>4</v>
      </c>
      <c r="B9" s="655"/>
      <c r="C9" s="655"/>
      <c r="D9" s="655"/>
      <c r="E9" s="656"/>
      <c r="F9" s="111">
        <v>37</v>
      </c>
      <c r="G9" s="9"/>
      <c r="H9" s="657" t="s">
        <v>4</v>
      </c>
      <c r="I9" s="658"/>
      <c r="J9" s="659"/>
      <c r="K9" s="111">
        <v>20</v>
      </c>
      <c r="M9" s="652" t="s">
        <v>4</v>
      </c>
      <c r="N9" s="660"/>
      <c r="O9" s="65">
        <f t="shared" si="0"/>
        <v>57</v>
      </c>
      <c r="Q9" s="9"/>
      <c r="R9" s="9"/>
      <c r="S9" s="9"/>
    </row>
    <row r="10" spans="1:21" ht="12" customHeight="1" x14ac:dyDescent="0.2">
      <c r="A10" s="652" t="s">
        <v>3</v>
      </c>
      <c r="B10" s="653"/>
      <c r="C10" s="653"/>
      <c r="D10" s="653"/>
      <c r="E10" s="653"/>
      <c r="F10" s="30">
        <f>F8-F9</f>
        <v>21</v>
      </c>
      <c r="G10" s="9"/>
      <c r="H10" s="619" t="s">
        <v>3</v>
      </c>
      <c r="I10" s="620"/>
      <c r="J10" s="620"/>
      <c r="K10" s="30">
        <f>K8-K9</f>
        <v>3</v>
      </c>
      <c r="M10" s="652" t="s">
        <v>3</v>
      </c>
      <c r="N10" s="660"/>
      <c r="O10" s="30">
        <f t="shared" si="0"/>
        <v>24</v>
      </c>
      <c r="Q10" s="9"/>
      <c r="R10" s="9"/>
      <c r="S10" s="9"/>
    </row>
    <row r="11" spans="1:21" ht="12.75" x14ac:dyDescent="0.2">
      <c r="A11" s="654" t="s">
        <v>8</v>
      </c>
      <c r="B11" s="655"/>
      <c r="C11" s="655"/>
      <c r="D11" s="655"/>
      <c r="E11" s="656"/>
      <c r="F11" s="31">
        <f>D32</f>
        <v>8</v>
      </c>
      <c r="G11" s="9"/>
      <c r="H11" s="657" t="s">
        <v>8</v>
      </c>
      <c r="I11" s="658"/>
      <c r="J11" s="659"/>
      <c r="K11" s="31">
        <f>SUM(D34:D35,D38:D40,D44:D45,D37)</f>
        <v>11</v>
      </c>
      <c r="M11" s="652" t="s">
        <v>8</v>
      </c>
      <c r="N11" s="660"/>
      <c r="O11" s="31">
        <f t="shared" si="0"/>
        <v>19</v>
      </c>
      <c r="Q11" s="19" t="s">
        <v>6</v>
      </c>
      <c r="R11" s="19"/>
      <c r="S11" s="18"/>
    </row>
    <row r="12" spans="1:21" ht="12.75" x14ac:dyDescent="0.2">
      <c r="A12" s="619" t="s">
        <v>26</v>
      </c>
      <c r="B12" s="620"/>
      <c r="C12" s="620"/>
      <c r="D12" s="620"/>
      <c r="E12" s="620"/>
      <c r="F12" s="32">
        <f>F32</f>
        <v>11</v>
      </c>
      <c r="G12" s="4"/>
      <c r="H12" s="619" t="s">
        <v>26</v>
      </c>
      <c r="I12" s="620"/>
      <c r="J12" s="620"/>
      <c r="K12" s="32">
        <f>SUM(F34:F35,F38:F40,F44:F45,F37)</f>
        <v>9</v>
      </c>
      <c r="M12" s="619" t="s">
        <v>26</v>
      </c>
      <c r="N12" s="660"/>
      <c r="O12" s="32">
        <f t="shared" si="0"/>
        <v>20</v>
      </c>
      <c r="Q12" s="19"/>
      <c r="R12" s="19"/>
      <c r="S12" s="18"/>
    </row>
    <row r="13" spans="1:21" ht="13.5" thickBot="1" x14ac:dyDescent="0.25">
      <c r="A13" s="621" t="s">
        <v>12</v>
      </c>
      <c r="B13" s="622"/>
      <c r="C13" s="622"/>
      <c r="D13" s="622"/>
      <c r="E13" s="622"/>
      <c r="F13" s="33">
        <f>(F11+F12)-F10</f>
        <v>-2</v>
      </c>
      <c r="G13" s="4"/>
      <c r="H13" s="621" t="s">
        <v>12</v>
      </c>
      <c r="I13" s="622"/>
      <c r="J13" s="622"/>
      <c r="K13" s="33">
        <f>(K11+K12)-K10</f>
        <v>17</v>
      </c>
      <c r="M13" s="621" t="s">
        <v>12</v>
      </c>
      <c r="N13" s="667"/>
      <c r="O13" s="33">
        <f t="shared" si="0"/>
        <v>15</v>
      </c>
      <c r="P13" s="5"/>
      <c r="Q13" s="19"/>
      <c r="R13" s="19"/>
      <c r="S13" s="9"/>
    </row>
    <row r="14" spans="1:21" x14ac:dyDescent="0.2">
      <c r="P14" s="5"/>
      <c r="Q14" s="9"/>
      <c r="R14" s="9"/>
      <c r="S14" s="9"/>
    </row>
    <row r="15" spans="1:21" ht="12.75" thickBot="1" x14ac:dyDescent="0.25">
      <c r="I15" s="5"/>
      <c r="J15" s="5"/>
      <c r="K15" s="5"/>
      <c r="L15" s="5"/>
      <c r="M15" s="5"/>
      <c r="N15" s="5"/>
      <c r="O15" s="9"/>
      <c r="P15" s="5"/>
      <c r="Q15" s="9"/>
      <c r="R15" s="9"/>
      <c r="S15" s="5"/>
      <c r="T15" s="5"/>
      <c r="U15" s="5"/>
    </row>
    <row r="16" spans="1:21" ht="13.5" customHeight="1" thickBot="1" x14ac:dyDescent="0.25">
      <c r="A16" s="413" t="s">
        <v>32</v>
      </c>
      <c r="B16" s="668"/>
      <c r="C16" s="668"/>
      <c r="D16" s="668"/>
      <c r="E16" s="668"/>
      <c r="F16" s="668"/>
      <c r="G16" s="668"/>
      <c r="H16" s="669"/>
      <c r="I16" s="61"/>
      <c r="J16" s="413" t="s">
        <v>185</v>
      </c>
      <c r="K16" s="618"/>
      <c r="L16" s="618"/>
      <c r="M16" s="618"/>
      <c r="N16" s="618"/>
      <c r="O16" s="618"/>
      <c r="P16" s="414"/>
      <c r="Q16" s="59"/>
      <c r="R16" s="18"/>
      <c r="S16" s="60"/>
      <c r="T16" s="60"/>
      <c r="U16" s="5"/>
    </row>
    <row r="17" spans="1:20" ht="69.75" customHeight="1" thickBot="1" x14ac:dyDescent="0.25">
      <c r="A17" s="53" t="s">
        <v>9</v>
      </c>
      <c r="B17" s="49" t="s">
        <v>47</v>
      </c>
      <c r="C17" s="202" t="s">
        <v>116</v>
      </c>
      <c r="D17" s="54" t="s">
        <v>31</v>
      </c>
      <c r="E17" s="48" t="s">
        <v>70</v>
      </c>
      <c r="F17" s="54" t="s">
        <v>112</v>
      </c>
      <c r="G17" s="48" t="s">
        <v>63</v>
      </c>
      <c r="H17" s="88" t="s">
        <v>24</v>
      </c>
      <c r="I17" s="9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9"/>
    </row>
    <row r="18" spans="1:20" ht="13.5" customHeight="1" x14ac:dyDescent="0.2">
      <c r="A18" s="34" t="s">
        <v>10</v>
      </c>
      <c r="B18" s="50">
        <v>22</v>
      </c>
      <c r="C18" s="206"/>
      <c r="D18" s="98">
        <v>0</v>
      </c>
      <c r="E18" s="98">
        <v>6</v>
      </c>
      <c r="F18" s="98">
        <v>4</v>
      </c>
      <c r="G18" s="98">
        <v>16</v>
      </c>
      <c r="H18" s="44">
        <f>(F18+G18)-(B18+E18)</f>
        <v>-8</v>
      </c>
      <c r="I18" s="9"/>
      <c r="J18" s="675">
        <v>31</v>
      </c>
      <c r="K18" s="626" t="s">
        <v>212</v>
      </c>
      <c r="L18" s="626" t="s">
        <v>213</v>
      </c>
      <c r="M18" s="626">
        <v>4</v>
      </c>
      <c r="N18" s="626">
        <v>9</v>
      </c>
      <c r="O18" s="631">
        <v>9</v>
      </c>
      <c r="P18" s="477">
        <v>113</v>
      </c>
      <c r="Q18" s="9"/>
      <c r="R18" s="9"/>
    </row>
    <row r="19" spans="1:20" x14ac:dyDescent="0.2">
      <c r="A19" s="35">
        <v>13</v>
      </c>
      <c r="B19" s="51">
        <v>5</v>
      </c>
      <c r="C19" s="207"/>
      <c r="D19" s="99">
        <v>0</v>
      </c>
      <c r="E19" s="99"/>
      <c r="F19" s="99">
        <v>0</v>
      </c>
      <c r="G19" s="99">
        <v>0</v>
      </c>
      <c r="H19" s="45">
        <f t="shared" ref="H19:H31" si="1">(F19+G19)-(B19+E19)</f>
        <v>-5</v>
      </c>
      <c r="I19" s="9"/>
      <c r="J19" s="676"/>
      <c r="K19" s="678"/>
      <c r="L19" s="678"/>
      <c r="M19" s="678"/>
      <c r="N19" s="678"/>
      <c r="O19" s="632"/>
      <c r="P19" s="703"/>
      <c r="Q19" s="9"/>
      <c r="R19" s="330" t="s">
        <v>6</v>
      </c>
    </row>
    <row r="20" spans="1:20" ht="12.75" customHeight="1" thickBot="1" x14ac:dyDescent="0.25">
      <c r="A20" s="35">
        <v>9</v>
      </c>
      <c r="B20" s="51">
        <v>1</v>
      </c>
      <c r="C20" s="207"/>
      <c r="D20" s="230">
        <v>0</v>
      </c>
      <c r="E20" s="230"/>
      <c r="F20" s="230">
        <v>0</v>
      </c>
      <c r="G20" s="230">
        <v>0</v>
      </c>
      <c r="H20" s="45">
        <f t="shared" si="1"/>
        <v>-1</v>
      </c>
      <c r="I20" s="9"/>
      <c r="J20" s="677"/>
      <c r="K20" s="679"/>
      <c r="L20" s="679"/>
      <c r="M20" s="679"/>
      <c r="N20" s="679"/>
      <c r="O20" s="633"/>
      <c r="P20" s="478"/>
      <c r="Q20" s="201" t="s">
        <v>6</v>
      </c>
      <c r="R20" s="122" t="s">
        <v>6</v>
      </c>
      <c r="T20" s="121" t="s">
        <v>6</v>
      </c>
    </row>
    <row r="21" spans="1:20" ht="13.5" thickBot="1" x14ac:dyDescent="0.25">
      <c r="A21" s="35">
        <v>22</v>
      </c>
      <c r="B21" s="51">
        <v>3</v>
      </c>
      <c r="C21" s="212"/>
      <c r="D21" s="99">
        <v>0</v>
      </c>
      <c r="E21" s="99"/>
      <c r="F21" s="99">
        <v>0</v>
      </c>
      <c r="G21" s="99">
        <v>0</v>
      </c>
      <c r="H21" s="45">
        <f t="shared" si="1"/>
        <v>-3</v>
      </c>
      <c r="I21" s="9"/>
      <c r="J21" s="672" t="s">
        <v>36</v>
      </c>
      <c r="K21" s="673"/>
      <c r="L21" s="673"/>
      <c r="M21" s="673"/>
      <c r="N21" s="673"/>
      <c r="O21" s="674"/>
      <c r="P21" s="60"/>
      <c r="Q21" s="60"/>
    </row>
    <row r="22" spans="1:20" ht="12" customHeight="1" x14ac:dyDescent="0.2">
      <c r="A22" s="35" t="s">
        <v>21</v>
      </c>
      <c r="B22" s="51">
        <v>10</v>
      </c>
      <c r="C22" s="212"/>
      <c r="D22" s="99">
        <v>3</v>
      </c>
      <c r="E22" s="99"/>
      <c r="F22" s="99">
        <v>0</v>
      </c>
      <c r="G22" s="99">
        <v>0</v>
      </c>
      <c r="H22" s="45">
        <f t="shared" si="1"/>
        <v>-10</v>
      </c>
      <c r="I22" s="9"/>
      <c r="J22" s="63" t="s">
        <v>36</v>
      </c>
      <c r="K22" s="408" t="s">
        <v>31</v>
      </c>
      <c r="L22" s="408" t="s">
        <v>44</v>
      </c>
      <c r="M22" s="408" t="s">
        <v>67</v>
      </c>
      <c r="N22" s="408" t="s">
        <v>35</v>
      </c>
      <c r="O22" s="406" t="s">
        <v>24</v>
      </c>
      <c r="Q22" s="9"/>
    </row>
    <row r="23" spans="1:20" ht="12" customHeight="1" x14ac:dyDescent="0.2">
      <c r="A23" s="35">
        <v>32</v>
      </c>
      <c r="B23" s="51">
        <v>3</v>
      </c>
      <c r="C23" s="212"/>
      <c r="D23" s="99">
        <v>0</v>
      </c>
      <c r="E23" s="99"/>
      <c r="F23" s="99">
        <v>2</v>
      </c>
      <c r="G23" s="99">
        <v>1</v>
      </c>
      <c r="H23" s="45">
        <f t="shared" si="1"/>
        <v>0</v>
      </c>
      <c r="I23" s="9"/>
      <c r="J23" s="64"/>
      <c r="K23" s="407"/>
      <c r="L23" s="407"/>
      <c r="M23" s="407"/>
      <c r="N23" s="407"/>
      <c r="O23" s="407"/>
      <c r="Q23" s="9"/>
    </row>
    <row r="24" spans="1:20" ht="12" customHeight="1" thickBot="1" x14ac:dyDescent="0.25">
      <c r="A24" s="35">
        <v>33</v>
      </c>
      <c r="B24" s="51">
        <v>1</v>
      </c>
      <c r="C24" s="212"/>
      <c r="D24" s="230">
        <v>0</v>
      </c>
      <c r="E24" s="230"/>
      <c r="F24" s="230">
        <v>0</v>
      </c>
      <c r="G24" s="230">
        <v>0</v>
      </c>
      <c r="H24" s="45">
        <f t="shared" si="1"/>
        <v>-1</v>
      </c>
      <c r="I24" s="9"/>
      <c r="J24" s="89"/>
      <c r="K24" s="407"/>
      <c r="L24" s="407"/>
      <c r="M24" s="407"/>
      <c r="N24" s="407"/>
      <c r="O24" s="407"/>
      <c r="Q24" s="9"/>
    </row>
    <row r="25" spans="1:20" x14ac:dyDescent="0.2">
      <c r="A25" s="35">
        <v>34</v>
      </c>
      <c r="B25" s="51">
        <v>3</v>
      </c>
      <c r="C25" s="212"/>
      <c r="D25" s="99">
        <v>1</v>
      </c>
      <c r="E25" s="99"/>
      <c r="F25" s="99">
        <v>0</v>
      </c>
      <c r="G25" s="99">
        <v>0</v>
      </c>
      <c r="H25" s="45">
        <f t="shared" si="1"/>
        <v>-3</v>
      </c>
      <c r="I25" s="9"/>
      <c r="J25" s="150" t="s">
        <v>84</v>
      </c>
      <c r="K25" s="101">
        <v>7</v>
      </c>
      <c r="L25" s="101">
        <v>0</v>
      </c>
      <c r="M25" s="101">
        <v>0</v>
      </c>
      <c r="N25" s="101">
        <v>0</v>
      </c>
      <c r="O25" s="44">
        <f>(K25+N25)-M25</f>
        <v>7</v>
      </c>
      <c r="Q25" s="9"/>
    </row>
    <row r="26" spans="1:20" ht="12" customHeight="1" x14ac:dyDescent="0.2">
      <c r="A26" s="35">
        <v>41</v>
      </c>
      <c r="B26" s="51">
        <v>3</v>
      </c>
      <c r="C26" s="212"/>
      <c r="D26" s="99">
        <v>0</v>
      </c>
      <c r="E26" s="99"/>
      <c r="F26" s="99">
        <v>0</v>
      </c>
      <c r="G26" s="99">
        <v>0</v>
      </c>
      <c r="H26" s="45">
        <f t="shared" si="1"/>
        <v>-3</v>
      </c>
      <c r="I26" s="9"/>
      <c r="J26" s="90" t="s">
        <v>30</v>
      </c>
      <c r="K26" s="102">
        <v>1</v>
      </c>
      <c r="L26" s="102">
        <v>2</v>
      </c>
      <c r="M26" s="102">
        <v>0</v>
      </c>
      <c r="N26" s="102">
        <v>0</v>
      </c>
      <c r="O26" s="45">
        <f t="shared" ref="O26:O29" si="2">(K26+N26)-M26</f>
        <v>1</v>
      </c>
      <c r="Q26" s="9"/>
    </row>
    <row r="27" spans="1:20" ht="12" customHeight="1" x14ac:dyDescent="0.2">
      <c r="A27" s="35">
        <v>42</v>
      </c>
      <c r="B27" s="51">
        <v>3</v>
      </c>
      <c r="C27" s="212"/>
      <c r="D27" s="99">
        <v>1</v>
      </c>
      <c r="E27" s="99"/>
      <c r="F27" s="99">
        <v>0</v>
      </c>
      <c r="G27" s="99">
        <v>0</v>
      </c>
      <c r="H27" s="45">
        <f t="shared" si="1"/>
        <v>-3</v>
      </c>
      <c r="I27" s="9"/>
      <c r="J27" s="90" t="s">
        <v>29</v>
      </c>
      <c r="K27" s="102">
        <v>4</v>
      </c>
      <c r="L27" s="102">
        <v>4</v>
      </c>
      <c r="M27" s="102">
        <v>0</v>
      </c>
      <c r="N27" s="102">
        <v>0</v>
      </c>
      <c r="O27" s="45">
        <f t="shared" si="2"/>
        <v>4</v>
      </c>
      <c r="Q27" s="9"/>
    </row>
    <row r="28" spans="1:20" ht="12.75" customHeight="1" x14ac:dyDescent="0.2">
      <c r="A28" s="35">
        <v>43</v>
      </c>
      <c r="B28" s="51">
        <v>5</v>
      </c>
      <c r="C28" s="212"/>
      <c r="D28" s="99">
        <v>0</v>
      </c>
      <c r="E28" s="99"/>
      <c r="F28" s="99">
        <v>3</v>
      </c>
      <c r="G28" s="99">
        <v>0</v>
      </c>
      <c r="H28" s="45">
        <f t="shared" si="1"/>
        <v>-2</v>
      </c>
      <c r="I28" s="9"/>
      <c r="J28" s="90" t="s">
        <v>27</v>
      </c>
      <c r="K28" s="102">
        <v>0</v>
      </c>
      <c r="L28" s="102">
        <v>0</v>
      </c>
      <c r="M28" s="102">
        <v>0</v>
      </c>
      <c r="N28" s="102">
        <v>0</v>
      </c>
      <c r="O28" s="45">
        <f t="shared" si="2"/>
        <v>0</v>
      </c>
      <c r="Q28" s="9"/>
    </row>
    <row r="29" spans="1:20" ht="12.75" thickBot="1" x14ac:dyDescent="0.25">
      <c r="A29" s="35">
        <v>44</v>
      </c>
      <c r="B29" s="51">
        <v>5</v>
      </c>
      <c r="C29" s="212"/>
      <c r="D29" s="99">
        <v>2</v>
      </c>
      <c r="E29" s="99"/>
      <c r="F29" s="99">
        <v>0</v>
      </c>
      <c r="G29" s="99">
        <v>1</v>
      </c>
      <c r="H29" s="45">
        <f t="shared" si="1"/>
        <v>-4</v>
      </c>
      <c r="I29" s="9"/>
      <c r="J29" s="91" t="s">
        <v>28</v>
      </c>
      <c r="K29" s="103">
        <v>1</v>
      </c>
      <c r="L29" s="103">
        <v>2</v>
      </c>
      <c r="M29" s="103">
        <v>0</v>
      </c>
      <c r="N29" s="103">
        <v>0</v>
      </c>
      <c r="O29" s="40">
        <f t="shared" si="2"/>
        <v>1</v>
      </c>
      <c r="Q29" s="9"/>
    </row>
    <row r="30" spans="1:20" ht="12.75" thickBot="1" x14ac:dyDescent="0.25">
      <c r="A30" s="124">
        <v>51</v>
      </c>
      <c r="B30" s="125">
        <v>3</v>
      </c>
      <c r="C30" s="234"/>
      <c r="D30" s="126">
        <v>1</v>
      </c>
      <c r="E30" s="126"/>
      <c r="F30" s="126">
        <v>2</v>
      </c>
      <c r="G30" s="126">
        <v>0</v>
      </c>
      <c r="H30" s="45">
        <f t="shared" si="1"/>
        <v>-1</v>
      </c>
      <c r="I30" s="9"/>
      <c r="Q30" s="9"/>
    </row>
    <row r="31" spans="1:20" ht="13.5" thickBot="1" x14ac:dyDescent="0.25">
      <c r="A31" s="7">
        <v>54</v>
      </c>
      <c r="B31" s="52">
        <v>1</v>
      </c>
      <c r="C31" s="213"/>
      <c r="D31" s="232">
        <v>0</v>
      </c>
      <c r="E31" s="232"/>
      <c r="F31" s="235">
        <v>0</v>
      </c>
      <c r="G31" s="235">
        <v>0</v>
      </c>
      <c r="H31" s="45">
        <f t="shared" si="1"/>
        <v>-1</v>
      </c>
      <c r="I31" s="9"/>
      <c r="J31" s="474" t="s">
        <v>69</v>
      </c>
      <c r="K31" s="475"/>
      <c r="L31" s="475"/>
      <c r="M31" s="475"/>
      <c r="N31" s="476"/>
      <c r="O31" s="68"/>
      <c r="P31" s="17"/>
      <c r="Q31" s="9"/>
    </row>
    <row r="32" spans="1:20" ht="12" customHeight="1" thickBot="1" x14ac:dyDescent="0.25">
      <c r="A32" s="39" t="s">
        <v>22</v>
      </c>
      <c r="B32" s="12">
        <f>SUM(B18:B31)</f>
        <v>68</v>
      </c>
      <c r="C32" s="12"/>
      <c r="D32" s="13">
        <f>SUM(D18:D30)</f>
        <v>8</v>
      </c>
      <c r="E32" s="13">
        <f>SUM(E18:E30)</f>
        <v>6</v>
      </c>
      <c r="F32" s="14">
        <f>SUM(F18:F30)</f>
        <v>11</v>
      </c>
      <c r="G32" s="14">
        <f>SUM(G18:G30)</f>
        <v>18</v>
      </c>
      <c r="H32" s="14">
        <f>SUM(H18:H31)</f>
        <v>-45</v>
      </c>
      <c r="I32" s="9"/>
      <c r="J32" s="408" t="s">
        <v>9</v>
      </c>
      <c r="K32" s="465" t="s">
        <v>15</v>
      </c>
      <c r="L32" s="680"/>
      <c r="M32" s="614" t="s">
        <v>33</v>
      </c>
      <c r="N32" s="680"/>
      <c r="O32" s="18"/>
      <c r="P32" s="9"/>
      <c r="Q32" s="9"/>
    </row>
    <row r="33" spans="1:19" ht="13.5" thickBot="1" x14ac:dyDescent="0.25">
      <c r="A33" s="42"/>
      <c r="B33" s="5"/>
      <c r="C33" s="204"/>
      <c r="D33" s="9"/>
      <c r="E33" s="9"/>
      <c r="F33" s="6"/>
      <c r="G33" s="9"/>
      <c r="H33" s="11"/>
      <c r="I33" s="9"/>
      <c r="J33" s="599"/>
      <c r="K33" s="681"/>
      <c r="L33" s="682"/>
      <c r="M33" s="681"/>
      <c r="N33" s="682"/>
      <c r="O33" s="18"/>
      <c r="P33" s="18"/>
      <c r="Q33" s="9"/>
      <c r="S33" s="62"/>
    </row>
    <row r="34" spans="1:19" ht="12.75" x14ac:dyDescent="0.2">
      <c r="A34" s="34" t="s">
        <v>11</v>
      </c>
      <c r="B34" s="50">
        <v>8</v>
      </c>
      <c r="C34" s="214"/>
      <c r="D34" s="184">
        <v>5</v>
      </c>
      <c r="E34" s="184">
        <v>1</v>
      </c>
      <c r="F34" s="184">
        <v>2</v>
      </c>
      <c r="G34" s="184">
        <v>7</v>
      </c>
      <c r="H34" s="44">
        <f>(F34+G34)-(B34+E34)</f>
        <v>0</v>
      </c>
      <c r="I34" s="9"/>
      <c r="J34" s="108" t="s">
        <v>182</v>
      </c>
      <c r="K34" s="683">
        <v>10</v>
      </c>
      <c r="L34" s="501"/>
      <c r="M34" s="683">
        <v>6</v>
      </c>
      <c r="N34" s="502"/>
      <c r="O34" s="69"/>
      <c r="P34" s="9"/>
      <c r="Q34" s="9"/>
    </row>
    <row r="35" spans="1:19" ht="12.75" x14ac:dyDescent="0.2">
      <c r="A35" s="35" t="s">
        <v>16</v>
      </c>
      <c r="B35" s="51">
        <v>6</v>
      </c>
      <c r="C35" s="212"/>
      <c r="D35" s="185">
        <v>1</v>
      </c>
      <c r="E35" s="185"/>
      <c r="F35" s="185">
        <v>0</v>
      </c>
      <c r="G35" s="185">
        <v>0</v>
      </c>
      <c r="H35" s="45">
        <f t="shared" ref="H35:H40" si="3">(F35+G35)-(B35+E35)</f>
        <v>-6</v>
      </c>
      <c r="I35" s="9"/>
      <c r="J35" s="109">
        <v>13</v>
      </c>
      <c r="K35" s="586">
        <v>12</v>
      </c>
      <c r="L35" s="684"/>
      <c r="M35" s="685">
        <v>14</v>
      </c>
      <c r="N35" s="505"/>
      <c r="O35" s="17"/>
      <c r="P35" s="9"/>
      <c r="Q35" s="9"/>
    </row>
    <row r="36" spans="1:19" ht="12.75" x14ac:dyDescent="0.2">
      <c r="A36" s="35">
        <v>10</v>
      </c>
      <c r="B36" s="125">
        <v>4</v>
      </c>
      <c r="C36" s="212"/>
      <c r="D36" s="185">
        <v>8</v>
      </c>
      <c r="E36" s="185"/>
      <c r="F36" s="185">
        <v>0</v>
      </c>
      <c r="G36" s="185">
        <v>3</v>
      </c>
      <c r="H36" s="45">
        <f t="shared" si="3"/>
        <v>-1</v>
      </c>
      <c r="I36" s="9"/>
      <c r="J36" s="109"/>
      <c r="K36" s="586">
        <v>0</v>
      </c>
      <c r="L36" s="684"/>
      <c r="M36" s="686"/>
      <c r="N36" s="505"/>
      <c r="O36" s="17"/>
      <c r="P36" s="9"/>
      <c r="Q36" s="9"/>
    </row>
    <row r="37" spans="1:19" ht="12.75" x14ac:dyDescent="0.2">
      <c r="A37" s="35">
        <v>9</v>
      </c>
      <c r="B37" s="51">
        <v>4</v>
      </c>
      <c r="C37" s="212"/>
      <c r="D37" s="185">
        <v>1</v>
      </c>
      <c r="E37" s="185"/>
      <c r="F37" s="185">
        <v>1</v>
      </c>
      <c r="G37" s="185">
        <v>4</v>
      </c>
      <c r="H37" s="45">
        <f>(F37+G37)-(B37+E37)</f>
        <v>1</v>
      </c>
      <c r="I37" s="9"/>
      <c r="J37" s="109"/>
      <c r="K37" s="586">
        <v>0</v>
      </c>
      <c r="L37" s="684"/>
      <c r="M37" s="686"/>
      <c r="N37" s="687"/>
      <c r="O37" s="17"/>
      <c r="P37" s="9"/>
      <c r="Q37" s="9"/>
    </row>
    <row r="38" spans="1:19" ht="13.5" customHeight="1" x14ac:dyDescent="0.2">
      <c r="A38" s="35">
        <v>52</v>
      </c>
      <c r="B38" s="193">
        <v>6</v>
      </c>
      <c r="C38" s="212"/>
      <c r="D38" s="185">
        <v>2</v>
      </c>
      <c r="E38" s="185"/>
      <c r="F38" s="185">
        <v>0</v>
      </c>
      <c r="G38" s="185">
        <v>5</v>
      </c>
      <c r="H38" s="45">
        <f t="shared" si="3"/>
        <v>-1</v>
      </c>
      <c r="I38" s="9"/>
      <c r="J38" s="109"/>
      <c r="K38" s="586">
        <v>0</v>
      </c>
      <c r="L38" s="586"/>
      <c r="M38" s="685"/>
      <c r="N38" s="688"/>
      <c r="O38" s="17"/>
      <c r="P38" s="9"/>
      <c r="Q38" s="9"/>
    </row>
    <row r="39" spans="1:19" ht="13.5" customHeight="1" x14ac:dyDescent="0.2">
      <c r="A39" s="35">
        <v>53</v>
      </c>
      <c r="B39" s="51">
        <v>6</v>
      </c>
      <c r="C39" s="212"/>
      <c r="D39" s="185">
        <v>0</v>
      </c>
      <c r="E39" s="185"/>
      <c r="F39" s="185">
        <v>0</v>
      </c>
      <c r="G39" s="185">
        <v>1</v>
      </c>
      <c r="H39" s="45">
        <f t="shared" si="3"/>
        <v>-5</v>
      </c>
      <c r="I39" s="9"/>
      <c r="J39" s="109"/>
      <c r="K39" s="586">
        <v>0</v>
      </c>
      <c r="L39" s="586"/>
      <c r="M39" s="685"/>
      <c r="N39" s="688"/>
      <c r="O39" s="17"/>
      <c r="P39" s="9"/>
      <c r="Q39" s="9"/>
    </row>
    <row r="40" spans="1:19" ht="13.5" thickBot="1" x14ac:dyDescent="0.25">
      <c r="A40" s="35">
        <v>54</v>
      </c>
      <c r="B40" s="52">
        <v>6</v>
      </c>
      <c r="C40" s="212"/>
      <c r="D40" s="185">
        <v>0</v>
      </c>
      <c r="E40" s="185"/>
      <c r="F40" s="185">
        <v>6</v>
      </c>
      <c r="G40" s="185">
        <v>0</v>
      </c>
      <c r="H40" s="45">
        <f t="shared" si="3"/>
        <v>0</v>
      </c>
      <c r="I40" s="9"/>
      <c r="J40" s="219"/>
      <c r="K40" s="492">
        <v>0</v>
      </c>
      <c r="L40" s="689"/>
      <c r="M40" s="690"/>
      <c r="N40" s="691"/>
      <c r="O40" s="17"/>
      <c r="P40" s="9"/>
      <c r="Q40" s="9"/>
    </row>
    <row r="41" spans="1:19" ht="12.75" thickBot="1" x14ac:dyDescent="0.25">
      <c r="A41" s="7" t="s">
        <v>71</v>
      </c>
      <c r="B41" s="197"/>
      <c r="C41" s="197"/>
      <c r="D41" s="197"/>
      <c r="E41" s="187"/>
      <c r="F41" s="197"/>
      <c r="G41" s="197"/>
      <c r="H41" s="198"/>
      <c r="I41" s="9"/>
      <c r="J41" s="563" t="s">
        <v>109</v>
      </c>
      <c r="K41" s="564"/>
      <c r="L41" s="567" t="s">
        <v>110</v>
      </c>
      <c r="M41" s="569" t="s">
        <v>20</v>
      </c>
      <c r="N41" s="561" t="s">
        <v>111</v>
      </c>
      <c r="O41" s="17"/>
      <c r="P41" s="9"/>
    </row>
    <row r="42" spans="1:19" ht="12.75" thickBot="1" x14ac:dyDescent="0.25">
      <c r="A42" s="39" t="s">
        <v>22</v>
      </c>
      <c r="B42" s="12">
        <f>SUM(B34:B40)</f>
        <v>40</v>
      </c>
      <c r="C42" s="12"/>
      <c r="D42" s="13">
        <f>SUM(D34:D40)</f>
        <v>17</v>
      </c>
      <c r="E42" s="13">
        <f>SUM(E34:E41)</f>
        <v>1</v>
      </c>
      <c r="F42" s="13">
        <f>SUM(F34:F40)</f>
        <v>9</v>
      </c>
      <c r="G42" s="13">
        <f>SUM(G34:G40)</f>
        <v>20</v>
      </c>
      <c r="H42" s="14">
        <f>SUM(H34:H40)</f>
        <v>-12</v>
      </c>
      <c r="I42" s="9"/>
      <c r="J42" s="565"/>
      <c r="K42" s="566"/>
      <c r="L42" s="568"/>
      <c r="M42" s="570"/>
      <c r="N42" s="562"/>
      <c r="O42" s="17"/>
      <c r="P42" s="9"/>
    </row>
    <row r="43" spans="1:19" ht="12.75" thickBot="1" x14ac:dyDescent="0.25">
      <c r="A43" s="42"/>
      <c r="B43" s="5"/>
      <c r="C43" s="204"/>
      <c r="D43" s="9"/>
      <c r="E43" s="9"/>
      <c r="F43" s="6"/>
      <c r="G43" s="9"/>
      <c r="H43" s="11"/>
      <c r="I43" s="9"/>
      <c r="J43" s="593" t="s">
        <v>108</v>
      </c>
      <c r="K43" s="594"/>
      <c r="L43" s="594"/>
      <c r="M43" s="594"/>
      <c r="N43" s="595"/>
      <c r="O43" s="17"/>
      <c r="P43" s="9"/>
    </row>
    <row r="44" spans="1:19" ht="12.75" customHeight="1" x14ac:dyDescent="0.2">
      <c r="A44" s="34">
        <v>31</v>
      </c>
      <c r="B44" s="50">
        <v>4</v>
      </c>
      <c r="C44" s="214"/>
      <c r="D44" s="98">
        <v>0</v>
      </c>
      <c r="E44" s="98"/>
      <c r="F44" s="98">
        <v>0</v>
      </c>
      <c r="G44" s="98">
        <v>0</v>
      </c>
      <c r="H44" s="44">
        <f>(F44+G44)-(B44+E44)</f>
        <v>-4</v>
      </c>
      <c r="I44" s="9"/>
      <c r="J44" s="571">
        <v>8</v>
      </c>
      <c r="K44" s="572"/>
      <c r="L44" s="575">
        <v>2</v>
      </c>
      <c r="M44" s="575">
        <v>1</v>
      </c>
      <c r="N44" s="577">
        <v>5</v>
      </c>
    </row>
    <row r="45" spans="1:19" ht="13.5" customHeight="1" thickBot="1" x14ac:dyDescent="0.25">
      <c r="A45" s="7">
        <v>33</v>
      </c>
      <c r="B45" s="52">
        <v>4</v>
      </c>
      <c r="C45" s="213"/>
      <c r="D45" s="100">
        <v>2</v>
      </c>
      <c r="E45" s="100"/>
      <c r="F45" s="100">
        <v>0</v>
      </c>
      <c r="G45" s="100">
        <v>1</v>
      </c>
      <c r="H45" s="40">
        <f>(F45+G45)-(B45+E45)</f>
        <v>-3</v>
      </c>
      <c r="I45" s="9"/>
      <c r="J45" s="573"/>
      <c r="K45" s="574"/>
      <c r="L45" s="576"/>
      <c r="M45" s="576"/>
      <c r="N45" s="578"/>
      <c r="O45" s="58" t="s">
        <v>6</v>
      </c>
    </row>
    <row r="46" spans="1:19" ht="15.75" customHeight="1" thickBot="1" x14ac:dyDescent="0.25">
      <c r="A46" s="130" t="s">
        <v>22</v>
      </c>
      <c r="B46" s="131">
        <f t="shared" ref="B46:H46" si="4">SUM(B44:B45)</f>
        <v>8</v>
      </c>
      <c r="C46" s="131"/>
      <c r="D46" s="132">
        <f t="shared" si="4"/>
        <v>2</v>
      </c>
      <c r="E46" s="132">
        <f t="shared" si="4"/>
        <v>0</v>
      </c>
      <c r="F46" s="133">
        <f t="shared" si="4"/>
        <v>0</v>
      </c>
      <c r="G46" s="133">
        <f t="shared" si="4"/>
        <v>1</v>
      </c>
      <c r="H46" s="133">
        <f t="shared" si="4"/>
        <v>-7</v>
      </c>
      <c r="J46" s="692" t="s">
        <v>118</v>
      </c>
      <c r="K46" s="693"/>
      <c r="L46" s="693"/>
      <c r="M46" s="693"/>
      <c r="N46" s="694"/>
    </row>
    <row r="47" spans="1:19" ht="15.75" customHeight="1" x14ac:dyDescent="0.2">
      <c r="D47" s="4"/>
      <c r="E47" s="4"/>
      <c r="F47" s="4"/>
      <c r="G47" s="4"/>
      <c r="H47" s="11"/>
      <c r="J47" s="695">
        <v>2</v>
      </c>
      <c r="K47" s="696"/>
      <c r="L47" s="699"/>
      <c r="M47" s="699"/>
      <c r="N47" s="701"/>
    </row>
    <row r="48" spans="1:19" ht="12.75" thickBot="1" x14ac:dyDescent="0.25">
      <c r="J48" s="697"/>
      <c r="K48" s="698"/>
      <c r="L48" s="700"/>
      <c r="M48" s="700"/>
      <c r="N48" s="702"/>
    </row>
    <row r="49" spans="7:14" x14ac:dyDescent="0.2">
      <c r="J49" s="9"/>
    </row>
    <row r="50" spans="7:14" x14ac:dyDescent="0.2">
      <c r="L50" s="215" t="s">
        <v>6</v>
      </c>
      <c r="N50" s="215" t="s">
        <v>6</v>
      </c>
    </row>
    <row r="52" spans="7:14" x14ac:dyDescent="0.2">
      <c r="J52" s="180" t="s">
        <v>6</v>
      </c>
    </row>
    <row r="54" spans="7:14" x14ac:dyDescent="0.2">
      <c r="G54" s="215" t="s">
        <v>119</v>
      </c>
    </row>
  </sheetData>
  <sheetProtection password="9D31" sheet="1" objects="1" scenarios="1" selectLockedCells="1"/>
  <mergeCells count="77">
    <mergeCell ref="A1:O1"/>
    <mergeCell ref="K32:L33"/>
    <mergeCell ref="K34:L34"/>
    <mergeCell ref="M5:O5"/>
    <mergeCell ref="J21:O21"/>
    <mergeCell ref="M7:N7"/>
    <mergeCell ref="M8:N8"/>
    <mergeCell ref="M9:N9"/>
    <mergeCell ref="M10:N10"/>
    <mergeCell ref="M11:N11"/>
    <mergeCell ref="A8:E8"/>
    <mergeCell ref="H8:J8"/>
    <mergeCell ref="A2:T2"/>
    <mergeCell ref="F3:G3"/>
    <mergeCell ref="J3:K3"/>
    <mergeCell ref="A5:F5"/>
    <mergeCell ref="H5:K5"/>
    <mergeCell ref="A6:E6"/>
    <mergeCell ref="H6:J6"/>
    <mergeCell ref="A7:E7"/>
    <mergeCell ref="M6:N6"/>
    <mergeCell ref="A9:E9"/>
    <mergeCell ref="H9:J9"/>
    <mergeCell ref="A10:E10"/>
    <mergeCell ref="H10:J10"/>
    <mergeCell ref="A11:E11"/>
    <mergeCell ref="H11:J11"/>
    <mergeCell ref="A12:E12"/>
    <mergeCell ref="H12:J12"/>
    <mergeCell ref="M12:N12"/>
    <mergeCell ref="A13:E13"/>
    <mergeCell ref="H13:J13"/>
    <mergeCell ref="A16:H16"/>
    <mergeCell ref="M13:N13"/>
    <mergeCell ref="K22:K24"/>
    <mergeCell ref="L22:L24"/>
    <mergeCell ref="M22:M24"/>
    <mergeCell ref="J18:J20"/>
    <mergeCell ref="K18:K20"/>
    <mergeCell ref="L18:L20"/>
    <mergeCell ref="M18:M20"/>
    <mergeCell ref="N18:N20"/>
    <mergeCell ref="J16:P16"/>
    <mergeCell ref="P18:P20"/>
    <mergeCell ref="J32:J33"/>
    <mergeCell ref="O18:O20"/>
    <mergeCell ref="N22:N24"/>
    <mergeCell ref="O22:O24"/>
    <mergeCell ref="M32:N33"/>
    <mergeCell ref="J31:N31"/>
    <mergeCell ref="K35:L35"/>
    <mergeCell ref="K36:L36"/>
    <mergeCell ref="M34:N34"/>
    <mergeCell ref="M35:N35"/>
    <mergeCell ref="M36:N36"/>
    <mergeCell ref="J43:N43"/>
    <mergeCell ref="K37:L37"/>
    <mergeCell ref="M37:N37"/>
    <mergeCell ref="K40:L40"/>
    <mergeCell ref="M40:N40"/>
    <mergeCell ref="K38:L38"/>
    <mergeCell ref="K39:L39"/>
    <mergeCell ref="M38:N38"/>
    <mergeCell ref="M39:N39"/>
    <mergeCell ref="J41:K42"/>
    <mergeCell ref="L41:L42"/>
    <mergeCell ref="M41:M42"/>
    <mergeCell ref="N41:N42"/>
    <mergeCell ref="N47:N48"/>
    <mergeCell ref="J44:K45"/>
    <mergeCell ref="L44:L45"/>
    <mergeCell ref="M44:M45"/>
    <mergeCell ref="L47:L48"/>
    <mergeCell ref="M47:M48"/>
    <mergeCell ref="J46:N46"/>
    <mergeCell ref="N44:N45"/>
    <mergeCell ref="J47:K48"/>
  </mergeCells>
  <conditionalFormatting sqref="F34:F36 F38:F40 F18:F31">
    <cfRule type="cellIs" dxfId="76" priority="67" operator="greaterThanOrEqual">
      <formula>B18</formula>
    </cfRule>
  </conditionalFormatting>
  <conditionalFormatting sqref="G18:G31">
    <cfRule type="cellIs" dxfId="75" priority="66" operator="greaterThan">
      <formula>0</formula>
    </cfRule>
  </conditionalFormatting>
  <conditionalFormatting sqref="H44:H45 H34:H40 H18:H31">
    <cfRule type="cellIs" dxfId="74" priority="65" operator="lessThan">
      <formula>0</formula>
    </cfRule>
  </conditionalFormatting>
  <conditionalFormatting sqref="H44:H45 H34:H40 H18:H31">
    <cfRule type="cellIs" dxfId="73" priority="64" operator="greaterThanOrEqual">
      <formula>0</formula>
    </cfRule>
  </conditionalFormatting>
  <conditionalFormatting sqref="G18:G31">
    <cfRule type="cellIs" dxfId="72" priority="63" operator="equal">
      <formula>0</formula>
    </cfRule>
  </conditionalFormatting>
  <conditionalFormatting sqref="F34:F36 F38:F40 F18:F31">
    <cfRule type="cellIs" dxfId="71" priority="62" operator="lessThan">
      <formula>B18</formula>
    </cfRule>
  </conditionalFormatting>
  <conditionalFormatting sqref="G34:G36 G38:G40">
    <cfRule type="cellIs" dxfId="70" priority="59" operator="greaterThan">
      <formula>0</formula>
    </cfRule>
    <cfRule type="cellIs" dxfId="69" priority="60" operator="equal">
      <formula>0</formula>
    </cfRule>
  </conditionalFormatting>
  <conditionalFormatting sqref="H34:H40">
    <cfRule type="cellIs" dxfId="68" priority="57" operator="greaterThanOrEqual">
      <formula>0</formula>
    </cfRule>
    <cfRule type="cellIs" dxfId="67" priority="58" operator="lessThan">
      <formula>0</formula>
    </cfRule>
  </conditionalFormatting>
  <conditionalFormatting sqref="F44:F45">
    <cfRule type="cellIs" dxfId="66" priority="55" operator="lessThan">
      <formula>B44</formula>
    </cfRule>
  </conditionalFormatting>
  <conditionalFormatting sqref="F44:F45">
    <cfRule type="cellIs" dxfId="65" priority="54" operator="greaterThanOrEqual">
      <formula>B44</formula>
    </cfRule>
  </conditionalFormatting>
  <conditionalFormatting sqref="G37 G44:G45">
    <cfRule type="cellIs" dxfId="64" priority="52" operator="equal">
      <formula>0</formula>
    </cfRule>
    <cfRule type="cellIs" dxfId="63" priority="53" operator="greaterThan">
      <formula>0</formula>
    </cfRule>
  </conditionalFormatting>
  <conditionalFormatting sqref="H44:H45">
    <cfRule type="cellIs" dxfId="62" priority="50" operator="lessThan">
      <formula>0</formula>
    </cfRule>
    <cfRule type="cellIs" dxfId="61" priority="51" operator="greaterThanOrEqual">
      <formula>0</formula>
    </cfRule>
  </conditionalFormatting>
  <conditionalFormatting sqref="F37">
    <cfRule type="cellIs" dxfId="60" priority="48" operator="greaterThanOrEqual">
      <formula>$B$37</formula>
    </cfRule>
    <cfRule type="cellIs" dxfId="59" priority="49" operator="lessThan">
      <formula>$B$37</formula>
    </cfRule>
  </conditionalFormatting>
  <conditionalFormatting sqref="Q18:Q20 O18:O20 Q25:Q29">
    <cfRule type="cellIs" dxfId="58" priority="31" operator="between">
      <formula>1</formula>
      <formula>9</formula>
    </cfRule>
  </conditionalFormatting>
  <conditionalFormatting sqref="N18">
    <cfRule type="cellIs" dxfId="57" priority="26" operator="greaterThan">
      <formula>0</formula>
    </cfRule>
  </conditionalFormatting>
  <conditionalFormatting sqref="M18 M34:N37 N40 M38:M40">
    <cfRule type="cellIs" dxfId="56" priority="25" operator="greaterThan">
      <formula>0</formula>
    </cfRule>
  </conditionalFormatting>
  <conditionalFormatting sqref="O13 F13 K13">
    <cfRule type="cellIs" dxfId="55" priority="23" operator="greaterThan">
      <formula>-1</formula>
    </cfRule>
    <cfRule type="cellIs" dxfId="54" priority="24" operator="lessThan">
      <formula>0</formula>
    </cfRule>
  </conditionalFormatting>
  <conditionalFormatting sqref="O18:O20">
    <cfRule type="cellIs" dxfId="53" priority="5" operator="greaterThan">
      <formula>0</formula>
    </cfRule>
  </conditionalFormatting>
  <conditionalFormatting sqref="O25:O29">
    <cfRule type="cellIs" dxfId="52" priority="3" operator="lessThanOrEqual">
      <formula>0</formula>
    </cfRule>
    <cfRule type="cellIs" dxfId="51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47"/>
  <sheetViews>
    <sheetView showGridLines="0" topLeftCell="A4" zoomScaleNormal="100" workbookViewId="0">
      <selection activeCell="M34" sqref="M34:N34"/>
    </sheetView>
  </sheetViews>
  <sheetFormatPr defaultColWidth="9.140625" defaultRowHeight="12" x14ac:dyDescent="0.2"/>
  <cols>
    <col min="1" max="1" width="9.42578125" style="343" customWidth="1"/>
    <col min="2" max="3" width="13.140625" style="343" customWidth="1"/>
    <col min="4" max="4" width="9.140625" style="343" customWidth="1"/>
    <col min="5" max="5" width="12.85546875" style="343" customWidth="1"/>
    <col min="6" max="6" width="13.42578125" style="343" customWidth="1"/>
    <col min="7" max="7" width="10" style="343" customWidth="1"/>
    <col min="8" max="8" width="9.5703125" style="343" customWidth="1"/>
    <col min="9" max="9" width="10.85546875" style="343" customWidth="1"/>
    <col min="10" max="10" width="11" style="343" customWidth="1"/>
    <col min="11" max="11" width="9.85546875" style="343" customWidth="1"/>
    <col min="12" max="12" width="13.42578125" style="343" customWidth="1"/>
    <col min="13" max="13" width="15.42578125" style="343" customWidth="1"/>
    <col min="14" max="15" width="11.42578125" style="343" customWidth="1"/>
    <col min="16" max="16" width="12.42578125" style="343" customWidth="1"/>
    <col min="17" max="17" width="10.42578125" style="343" customWidth="1"/>
    <col min="18" max="18" width="9.5703125" style="343" customWidth="1"/>
    <col min="19" max="19" width="10" style="343" customWidth="1"/>
    <col min="20" max="20" width="8.5703125" style="343" customWidth="1"/>
    <col min="21" max="16384" width="9.140625" style="343"/>
  </cols>
  <sheetData>
    <row r="1" spans="1:21" ht="21" customHeight="1" thickBot="1" x14ac:dyDescent="0.25">
      <c r="A1" s="413" t="s">
        <v>42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4"/>
      <c r="P1" s="336"/>
      <c r="Q1" s="336"/>
      <c r="R1" s="336"/>
      <c r="S1" s="336"/>
      <c r="T1" s="336"/>
      <c r="U1" s="222"/>
    </row>
    <row r="2" spans="1:21" ht="8.25" customHeight="1" thickBot="1" x14ac:dyDescent="0.25">
      <c r="A2" s="641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642"/>
      <c r="S2" s="642"/>
      <c r="T2" s="642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643" t="s">
        <v>208</v>
      </c>
      <c r="G3" s="661"/>
      <c r="H3" s="21"/>
      <c r="I3" s="97" t="s">
        <v>51</v>
      </c>
      <c r="J3" s="643" t="s">
        <v>214</v>
      </c>
      <c r="K3" s="644"/>
      <c r="L3" s="22"/>
      <c r="M3" s="97" t="s">
        <v>2</v>
      </c>
      <c r="N3" s="350">
        <v>0.79166666666666663</v>
      </c>
      <c r="O3" s="22"/>
      <c r="P3" s="23"/>
      <c r="Q3" s="22"/>
      <c r="R3" s="340"/>
      <c r="S3" s="340"/>
      <c r="T3" s="22"/>
    </row>
    <row r="4" spans="1:21" ht="16.5" customHeight="1" thickBot="1" x14ac:dyDescent="0.25">
      <c r="K4" s="335"/>
      <c r="L4" s="335"/>
      <c r="M4" s="335"/>
      <c r="N4" s="335"/>
      <c r="O4" s="335"/>
      <c r="P4" s="335"/>
      <c r="Q4" s="335"/>
      <c r="R4" s="17"/>
      <c r="S4" s="17"/>
      <c r="T4" s="335"/>
    </row>
    <row r="5" spans="1:21" ht="18" customHeight="1" thickBot="1" x14ac:dyDescent="0.25">
      <c r="A5" s="662" t="s">
        <v>5</v>
      </c>
      <c r="B5" s="663"/>
      <c r="C5" s="663"/>
      <c r="D5" s="663"/>
      <c r="E5" s="663"/>
      <c r="F5" s="664"/>
      <c r="G5" s="222"/>
      <c r="H5" s="662" t="s">
        <v>7</v>
      </c>
      <c r="I5" s="663"/>
      <c r="J5" s="663"/>
      <c r="K5" s="664"/>
      <c r="M5" s="665" t="s">
        <v>13</v>
      </c>
      <c r="N5" s="473"/>
      <c r="O5" s="439"/>
      <c r="P5" s="67"/>
      <c r="S5" s="335"/>
    </row>
    <row r="6" spans="1:21" ht="17.25" customHeight="1" x14ac:dyDescent="0.2">
      <c r="A6" s="650" t="s">
        <v>17</v>
      </c>
      <c r="B6" s="651"/>
      <c r="C6" s="651"/>
      <c r="D6" s="651"/>
      <c r="E6" s="651"/>
      <c r="F6" s="27">
        <f>'Sitrep 0830'!E6</f>
        <v>0</v>
      </c>
      <c r="G6" s="335"/>
      <c r="H6" s="650" t="s">
        <v>17</v>
      </c>
      <c r="I6" s="651"/>
      <c r="J6" s="651"/>
      <c r="K6" s="27">
        <f>'Sitrep 0830'!J6</f>
        <v>0</v>
      </c>
      <c r="M6" s="650" t="s">
        <v>17</v>
      </c>
      <c r="N6" s="666"/>
      <c r="O6" s="27">
        <f>F6+K6</f>
        <v>0</v>
      </c>
      <c r="S6" s="17"/>
    </row>
    <row r="7" spans="1:21" ht="12" customHeight="1" x14ac:dyDescent="0.2">
      <c r="A7" s="652" t="s">
        <v>18</v>
      </c>
      <c r="B7" s="653"/>
      <c r="C7" s="653"/>
      <c r="D7" s="653"/>
      <c r="E7" s="653"/>
      <c r="F7" s="28">
        <f>'Sitrep 0830'!E7</f>
        <v>58</v>
      </c>
      <c r="G7" s="26"/>
      <c r="H7" s="341" t="s">
        <v>18</v>
      </c>
      <c r="I7" s="342"/>
      <c r="J7" s="342"/>
      <c r="K7" s="28">
        <f>'Sitrep 0830'!J7</f>
        <v>23</v>
      </c>
      <c r="M7" s="652" t="s">
        <v>14</v>
      </c>
      <c r="N7" s="660"/>
      <c r="O7" s="28">
        <f t="shared" ref="O7:O13" si="0">F7+K7</f>
        <v>81</v>
      </c>
      <c r="S7" s="335"/>
    </row>
    <row r="8" spans="1:21" ht="12" customHeight="1" x14ac:dyDescent="0.2">
      <c r="A8" s="652" t="s">
        <v>19</v>
      </c>
      <c r="B8" s="653"/>
      <c r="C8" s="653"/>
      <c r="D8" s="653"/>
      <c r="E8" s="653"/>
      <c r="F8" s="29">
        <f>SUM(F6:F7)</f>
        <v>58</v>
      </c>
      <c r="G8" s="26"/>
      <c r="H8" s="619" t="s">
        <v>19</v>
      </c>
      <c r="I8" s="620"/>
      <c r="J8" s="620"/>
      <c r="K8" s="29">
        <f>SUM(K6:K7)</f>
        <v>23</v>
      </c>
      <c r="M8" s="652" t="s">
        <v>19</v>
      </c>
      <c r="N8" s="660"/>
      <c r="O8" s="29">
        <f t="shared" si="0"/>
        <v>81</v>
      </c>
      <c r="S8" s="335"/>
    </row>
    <row r="9" spans="1:21" ht="12" customHeight="1" x14ac:dyDescent="0.2">
      <c r="A9" s="654" t="s">
        <v>4</v>
      </c>
      <c r="B9" s="655"/>
      <c r="C9" s="655"/>
      <c r="D9" s="655"/>
      <c r="E9" s="656"/>
      <c r="F9" s="333">
        <v>52</v>
      </c>
      <c r="G9" s="335"/>
      <c r="H9" s="657" t="s">
        <v>4</v>
      </c>
      <c r="I9" s="658"/>
      <c r="J9" s="659"/>
      <c r="K9" s="333">
        <v>21</v>
      </c>
      <c r="M9" s="652" t="s">
        <v>4</v>
      </c>
      <c r="N9" s="660"/>
      <c r="O9" s="85">
        <f t="shared" si="0"/>
        <v>73</v>
      </c>
      <c r="Q9" s="335"/>
      <c r="R9" s="335"/>
      <c r="S9" s="335"/>
    </row>
    <row r="10" spans="1:21" ht="12" customHeight="1" x14ac:dyDescent="0.2">
      <c r="A10" s="652" t="s">
        <v>3</v>
      </c>
      <c r="B10" s="653"/>
      <c r="C10" s="653"/>
      <c r="D10" s="653"/>
      <c r="E10" s="653"/>
      <c r="F10" s="30">
        <f>F8-F9</f>
        <v>6</v>
      </c>
      <c r="G10" s="335"/>
      <c r="H10" s="619" t="s">
        <v>3</v>
      </c>
      <c r="I10" s="620"/>
      <c r="J10" s="620"/>
      <c r="K10" s="30">
        <f>K8-K9</f>
        <v>2</v>
      </c>
      <c r="M10" s="652" t="s">
        <v>3</v>
      </c>
      <c r="N10" s="660"/>
      <c r="O10" s="30">
        <f t="shared" si="0"/>
        <v>8</v>
      </c>
      <c r="Q10" s="335"/>
      <c r="R10" s="335"/>
      <c r="S10" s="335"/>
    </row>
    <row r="11" spans="1:21" ht="12.75" x14ac:dyDescent="0.2">
      <c r="A11" s="654" t="s">
        <v>8</v>
      </c>
      <c r="B11" s="655"/>
      <c r="C11" s="655"/>
      <c r="D11" s="655"/>
      <c r="E11" s="656"/>
      <c r="F11" s="31">
        <f>D32</f>
        <v>11</v>
      </c>
      <c r="G11" s="335"/>
      <c r="H11" s="657" t="s">
        <v>8</v>
      </c>
      <c r="I11" s="658"/>
      <c r="J11" s="659"/>
      <c r="K11" s="31">
        <f>SUM(D34:D35,D38:D40,D43:D44,D37)</f>
        <v>12</v>
      </c>
      <c r="M11" s="652" t="s">
        <v>8</v>
      </c>
      <c r="N11" s="660"/>
      <c r="O11" s="31">
        <f t="shared" si="0"/>
        <v>23</v>
      </c>
      <c r="Q11" s="340" t="s">
        <v>6</v>
      </c>
      <c r="R11" s="340"/>
      <c r="S11" s="18"/>
    </row>
    <row r="12" spans="1:21" ht="12.75" x14ac:dyDescent="0.2">
      <c r="A12" s="619" t="s">
        <v>26</v>
      </c>
      <c r="B12" s="620"/>
      <c r="C12" s="620"/>
      <c r="D12" s="620"/>
      <c r="E12" s="620"/>
      <c r="F12" s="32">
        <f>F32</f>
        <v>1</v>
      </c>
      <c r="G12" s="4"/>
      <c r="H12" s="619" t="s">
        <v>26</v>
      </c>
      <c r="I12" s="620"/>
      <c r="J12" s="620"/>
      <c r="K12" s="32">
        <f>SUM(F34:F35,F38:F40,F43:F44,F37)</f>
        <v>2</v>
      </c>
      <c r="M12" s="619" t="s">
        <v>26</v>
      </c>
      <c r="N12" s="660"/>
      <c r="O12" s="32">
        <f t="shared" si="0"/>
        <v>3</v>
      </c>
      <c r="Q12" s="340"/>
      <c r="R12" s="340"/>
      <c r="S12" s="18"/>
    </row>
    <row r="13" spans="1:21" ht="13.5" thickBot="1" x14ac:dyDescent="0.25">
      <c r="A13" s="621" t="s">
        <v>12</v>
      </c>
      <c r="B13" s="622"/>
      <c r="C13" s="622"/>
      <c r="D13" s="622"/>
      <c r="E13" s="622"/>
      <c r="F13" s="33">
        <f>(F11+F12)-F10</f>
        <v>6</v>
      </c>
      <c r="G13" s="4"/>
      <c r="H13" s="621" t="s">
        <v>12</v>
      </c>
      <c r="I13" s="622"/>
      <c r="J13" s="622"/>
      <c r="K13" s="33">
        <f>(K11+K12)-K10</f>
        <v>12</v>
      </c>
      <c r="M13" s="621" t="s">
        <v>12</v>
      </c>
      <c r="N13" s="667"/>
      <c r="O13" s="33">
        <f t="shared" si="0"/>
        <v>18</v>
      </c>
      <c r="P13" s="222"/>
      <c r="Q13" s="340"/>
      <c r="R13" s="340"/>
      <c r="S13" s="335"/>
    </row>
    <row r="14" spans="1:21" x14ac:dyDescent="0.2">
      <c r="P14" s="222"/>
      <c r="Q14" s="335"/>
      <c r="R14" s="335"/>
      <c r="S14" s="335"/>
    </row>
    <row r="15" spans="1:21" ht="12.75" thickBot="1" x14ac:dyDescent="0.25">
      <c r="I15" s="222"/>
      <c r="J15" s="222"/>
      <c r="K15" s="222"/>
      <c r="L15" s="222"/>
      <c r="M15" s="222"/>
      <c r="N15" s="222"/>
      <c r="O15" s="335"/>
      <c r="P15" s="222"/>
      <c r="Q15" s="335"/>
      <c r="R15" s="335"/>
      <c r="S15" s="222"/>
      <c r="T15" s="222"/>
      <c r="U15" s="222"/>
    </row>
    <row r="16" spans="1:21" ht="13.5" customHeight="1" thickBot="1" x14ac:dyDescent="0.25">
      <c r="A16" s="413" t="s">
        <v>32</v>
      </c>
      <c r="B16" s="668"/>
      <c r="C16" s="668"/>
      <c r="D16" s="668"/>
      <c r="E16" s="668"/>
      <c r="F16" s="668"/>
      <c r="G16" s="668"/>
      <c r="H16" s="669"/>
      <c r="I16" s="61"/>
      <c r="J16" s="413" t="s">
        <v>185</v>
      </c>
      <c r="K16" s="618"/>
      <c r="L16" s="618"/>
      <c r="M16" s="618"/>
      <c r="N16" s="618"/>
      <c r="O16" s="618"/>
      <c r="P16" s="414"/>
      <c r="Q16" s="59"/>
      <c r="R16" s="18"/>
      <c r="S16" s="336"/>
      <c r="T16" s="336"/>
      <c r="U16" s="222"/>
    </row>
    <row r="17" spans="1:18" ht="60.75" thickBot="1" x14ac:dyDescent="0.25">
      <c r="A17" s="53" t="s">
        <v>9</v>
      </c>
      <c r="B17" s="49" t="s">
        <v>47</v>
      </c>
      <c r="C17" s="202" t="s">
        <v>122</v>
      </c>
      <c r="D17" s="54" t="s">
        <v>31</v>
      </c>
      <c r="E17" s="48" t="s">
        <v>70</v>
      </c>
      <c r="F17" s="54" t="s">
        <v>112</v>
      </c>
      <c r="G17" s="48" t="s">
        <v>68</v>
      </c>
      <c r="H17" s="339" t="s">
        <v>24</v>
      </c>
      <c r="I17" s="335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335"/>
    </row>
    <row r="18" spans="1:18" x14ac:dyDescent="0.2">
      <c r="A18" s="34" t="s">
        <v>10</v>
      </c>
      <c r="B18" s="50">
        <v>22</v>
      </c>
      <c r="C18" s="206"/>
      <c r="D18" s="347">
        <v>2</v>
      </c>
      <c r="E18" s="347">
        <v>1</v>
      </c>
      <c r="F18" s="347">
        <v>1</v>
      </c>
      <c r="G18" s="347">
        <v>26</v>
      </c>
      <c r="H18" s="44">
        <f>(F18+G18)-(B18+E18)</f>
        <v>4</v>
      </c>
      <c r="I18" s="335"/>
      <c r="J18" s="675">
        <v>12</v>
      </c>
      <c r="K18" s="626" t="s">
        <v>215</v>
      </c>
      <c r="L18" s="626" t="s">
        <v>216</v>
      </c>
      <c r="M18" s="626">
        <v>1</v>
      </c>
      <c r="N18" s="626">
        <v>2</v>
      </c>
      <c r="O18" s="631">
        <v>9</v>
      </c>
      <c r="P18" s="477">
        <v>134</v>
      </c>
      <c r="Q18" s="335"/>
      <c r="R18" s="335"/>
    </row>
    <row r="19" spans="1:18" x14ac:dyDescent="0.2">
      <c r="A19" s="35">
        <v>13</v>
      </c>
      <c r="B19" s="51">
        <v>5</v>
      </c>
      <c r="C19" s="207"/>
      <c r="D19" s="345">
        <v>0</v>
      </c>
      <c r="E19" s="345"/>
      <c r="F19" s="345">
        <v>0</v>
      </c>
      <c r="G19" s="345">
        <v>0</v>
      </c>
      <c r="H19" s="45">
        <f t="shared" ref="H19:H31" si="1">(F19+G19)-(B19+E19)</f>
        <v>-5</v>
      </c>
      <c r="I19" s="335"/>
      <c r="J19" s="676"/>
      <c r="K19" s="678"/>
      <c r="L19" s="678"/>
      <c r="M19" s="678"/>
      <c r="N19" s="678"/>
      <c r="O19" s="632"/>
      <c r="P19" s="703"/>
      <c r="Q19" s="335"/>
      <c r="R19" s="335"/>
    </row>
    <row r="20" spans="1:18" ht="12.75" customHeight="1" thickBot="1" x14ac:dyDescent="0.25">
      <c r="A20" s="35">
        <v>9</v>
      </c>
      <c r="B20" s="51">
        <v>1</v>
      </c>
      <c r="C20" s="207"/>
      <c r="D20" s="345">
        <v>0</v>
      </c>
      <c r="E20" s="345"/>
      <c r="F20" s="345">
        <v>0</v>
      </c>
      <c r="G20" s="345">
        <v>0</v>
      </c>
      <c r="H20" s="45">
        <f t="shared" si="1"/>
        <v>-1</v>
      </c>
      <c r="I20" s="335"/>
      <c r="J20" s="677"/>
      <c r="K20" s="679"/>
      <c r="L20" s="679"/>
      <c r="M20" s="679"/>
      <c r="N20" s="679"/>
      <c r="O20" s="633"/>
      <c r="P20" s="478"/>
      <c r="Q20" s="335"/>
      <c r="R20" s="335"/>
    </row>
    <row r="21" spans="1:18" ht="13.5" thickBot="1" x14ac:dyDescent="0.25">
      <c r="A21" s="35">
        <v>22</v>
      </c>
      <c r="B21" s="51">
        <v>3</v>
      </c>
      <c r="C21" s="212"/>
      <c r="D21" s="345">
        <v>1</v>
      </c>
      <c r="E21" s="345"/>
      <c r="F21" s="345">
        <v>0</v>
      </c>
      <c r="G21" s="345">
        <v>0</v>
      </c>
      <c r="H21" s="45">
        <f t="shared" si="1"/>
        <v>-3</v>
      </c>
      <c r="I21" s="335"/>
      <c r="J21" s="672" t="s">
        <v>36</v>
      </c>
      <c r="K21" s="673"/>
      <c r="L21" s="673"/>
      <c r="M21" s="673"/>
      <c r="N21" s="673"/>
      <c r="O21" s="674"/>
      <c r="P21" s="336"/>
      <c r="Q21" s="336"/>
    </row>
    <row r="22" spans="1:18" ht="12" customHeight="1" x14ac:dyDescent="0.2">
      <c r="A22" s="35" t="s">
        <v>21</v>
      </c>
      <c r="B22" s="51">
        <v>10</v>
      </c>
      <c r="C22" s="212"/>
      <c r="D22" s="345">
        <v>1</v>
      </c>
      <c r="E22" s="345"/>
      <c r="F22" s="345">
        <v>0</v>
      </c>
      <c r="G22" s="345">
        <v>0</v>
      </c>
      <c r="H22" s="45">
        <f t="shared" si="1"/>
        <v>-10</v>
      </c>
      <c r="I22" s="335"/>
      <c r="J22" s="337" t="s">
        <v>36</v>
      </c>
      <c r="K22" s="408" t="s">
        <v>31</v>
      </c>
      <c r="L22" s="408" t="s">
        <v>44</v>
      </c>
      <c r="M22" s="408" t="s">
        <v>67</v>
      </c>
      <c r="N22" s="408" t="s">
        <v>35</v>
      </c>
      <c r="O22" s="406" t="s">
        <v>24</v>
      </c>
      <c r="Q22" s="335"/>
    </row>
    <row r="23" spans="1:18" ht="12.75" x14ac:dyDescent="0.2">
      <c r="A23" s="35">
        <v>32</v>
      </c>
      <c r="B23" s="51">
        <v>3</v>
      </c>
      <c r="C23" s="212"/>
      <c r="D23" s="345">
        <v>1</v>
      </c>
      <c r="E23" s="345"/>
      <c r="F23" s="345">
        <v>0</v>
      </c>
      <c r="G23" s="345">
        <v>3</v>
      </c>
      <c r="H23" s="45">
        <f t="shared" si="1"/>
        <v>0</v>
      </c>
      <c r="I23" s="335"/>
      <c r="J23" s="344"/>
      <c r="K23" s="407"/>
      <c r="L23" s="407"/>
      <c r="M23" s="407"/>
      <c r="N23" s="407"/>
      <c r="O23" s="407"/>
      <c r="Q23" s="335"/>
    </row>
    <row r="24" spans="1:18" ht="13.5" thickBot="1" x14ac:dyDescent="0.25">
      <c r="A24" s="35">
        <v>33</v>
      </c>
      <c r="B24" s="51">
        <v>1</v>
      </c>
      <c r="C24" s="212"/>
      <c r="D24" s="345">
        <v>0</v>
      </c>
      <c r="E24" s="345"/>
      <c r="F24" s="345">
        <v>0</v>
      </c>
      <c r="G24" s="345">
        <v>0</v>
      </c>
      <c r="H24" s="45">
        <f t="shared" si="1"/>
        <v>-1</v>
      </c>
      <c r="I24" s="335"/>
      <c r="J24" s="344"/>
      <c r="K24" s="407"/>
      <c r="L24" s="407"/>
      <c r="M24" s="407"/>
      <c r="N24" s="407"/>
      <c r="O24" s="407"/>
      <c r="Q24" s="335"/>
      <c r="R24" s="343" t="s">
        <v>6</v>
      </c>
    </row>
    <row r="25" spans="1:18" x14ac:dyDescent="0.2">
      <c r="A25" s="35">
        <v>34</v>
      </c>
      <c r="B25" s="51">
        <v>3</v>
      </c>
      <c r="C25" s="212"/>
      <c r="D25" s="345">
        <v>1</v>
      </c>
      <c r="E25" s="345"/>
      <c r="F25" s="345">
        <v>0</v>
      </c>
      <c r="G25" s="345">
        <v>0</v>
      </c>
      <c r="H25" s="45">
        <f t="shared" si="1"/>
        <v>-3</v>
      </c>
      <c r="I25" s="335"/>
      <c r="J25" s="338" t="s">
        <v>84</v>
      </c>
      <c r="K25" s="141">
        <v>7</v>
      </c>
      <c r="L25" s="141">
        <v>0</v>
      </c>
      <c r="M25" s="141">
        <v>0</v>
      </c>
      <c r="N25" s="141">
        <v>0</v>
      </c>
      <c r="O25" s="44">
        <f>(K25+N25)-M25</f>
        <v>7</v>
      </c>
      <c r="Q25" s="335"/>
    </row>
    <row r="26" spans="1:18" x14ac:dyDescent="0.2">
      <c r="A26" s="35">
        <v>41</v>
      </c>
      <c r="B26" s="51">
        <v>3</v>
      </c>
      <c r="C26" s="212"/>
      <c r="D26" s="345">
        <v>0</v>
      </c>
      <c r="E26" s="345"/>
      <c r="F26" s="345">
        <v>0</v>
      </c>
      <c r="G26" s="345">
        <v>0</v>
      </c>
      <c r="H26" s="45">
        <f t="shared" si="1"/>
        <v>-3</v>
      </c>
      <c r="I26" s="335"/>
      <c r="J26" s="332" t="s">
        <v>30</v>
      </c>
      <c r="K26" s="346">
        <v>1</v>
      </c>
      <c r="L26" s="346">
        <v>1</v>
      </c>
      <c r="M26" s="346">
        <v>0</v>
      </c>
      <c r="N26" s="346">
        <v>0</v>
      </c>
      <c r="O26" s="45">
        <f t="shared" ref="O26:O29" si="2">(K26+N26)-M26</f>
        <v>1</v>
      </c>
      <c r="Q26" s="335" t="s">
        <v>6</v>
      </c>
    </row>
    <row r="27" spans="1:18" x14ac:dyDescent="0.2">
      <c r="A27" s="35">
        <v>42</v>
      </c>
      <c r="B27" s="51">
        <v>3</v>
      </c>
      <c r="C27" s="212"/>
      <c r="D27" s="345">
        <v>0</v>
      </c>
      <c r="E27" s="345"/>
      <c r="F27" s="345">
        <v>0</v>
      </c>
      <c r="G27" s="345">
        <v>0</v>
      </c>
      <c r="H27" s="45">
        <f t="shared" si="1"/>
        <v>-3</v>
      </c>
      <c r="I27" s="335"/>
      <c r="J27" s="332" t="s">
        <v>29</v>
      </c>
      <c r="K27" s="346">
        <v>4</v>
      </c>
      <c r="L27" s="346">
        <v>4</v>
      </c>
      <c r="M27" s="346">
        <v>0</v>
      </c>
      <c r="N27" s="346">
        <v>0</v>
      </c>
      <c r="O27" s="45">
        <f t="shared" si="2"/>
        <v>4</v>
      </c>
      <c r="Q27" s="335"/>
    </row>
    <row r="28" spans="1:18" x14ac:dyDescent="0.2">
      <c r="A28" s="35">
        <v>43</v>
      </c>
      <c r="B28" s="51">
        <v>5</v>
      </c>
      <c r="C28" s="212"/>
      <c r="D28" s="345">
        <v>2</v>
      </c>
      <c r="E28" s="345"/>
      <c r="F28" s="345">
        <v>0</v>
      </c>
      <c r="G28" s="345">
        <v>3</v>
      </c>
      <c r="H28" s="45">
        <f t="shared" si="1"/>
        <v>-2</v>
      </c>
      <c r="I28" s="335"/>
      <c r="J28" s="332" t="s">
        <v>27</v>
      </c>
      <c r="K28" s="346">
        <v>0</v>
      </c>
      <c r="L28" s="346">
        <v>0</v>
      </c>
      <c r="M28" s="346">
        <v>0</v>
      </c>
      <c r="N28" s="346">
        <v>0</v>
      </c>
      <c r="O28" s="45">
        <f t="shared" si="2"/>
        <v>0</v>
      </c>
      <c r="Q28" s="335"/>
    </row>
    <row r="29" spans="1:18" ht="12.75" thickBot="1" x14ac:dyDescent="0.25">
      <c r="A29" s="35">
        <v>44</v>
      </c>
      <c r="B29" s="51">
        <v>5</v>
      </c>
      <c r="C29" s="212"/>
      <c r="D29" s="345">
        <v>2</v>
      </c>
      <c r="E29" s="345"/>
      <c r="F29" s="345">
        <v>0</v>
      </c>
      <c r="G29" s="345">
        <v>1</v>
      </c>
      <c r="H29" s="45">
        <f t="shared" si="1"/>
        <v>-4</v>
      </c>
      <c r="I29" s="335"/>
      <c r="J29" s="334" t="s">
        <v>28</v>
      </c>
      <c r="K29" s="103">
        <v>2</v>
      </c>
      <c r="L29" s="103">
        <v>1</v>
      </c>
      <c r="M29" s="103">
        <v>0</v>
      </c>
      <c r="N29" s="103">
        <v>0</v>
      </c>
      <c r="O29" s="40">
        <f t="shared" si="2"/>
        <v>2</v>
      </c>
      <c r="Q29" s="335"/>
    </row>
    <row r="30" spans="1:18" ht="12.75" thickBot="1" x14ac:dyDescent="0.25">
      <c r="A30" s="124">
        <v>51</v>
      </c>
      <c r="B30" s="125">
        <v>3</v>
      </c>
      <c r="C30" s="234"/>
      <c r="D30" s="126">
        <v>1</v>
      </c>
      <c r="E30" s="126"/>
      <c r="F30" s="126">
        <v>0</v>
      </c>
      <c r="G30" s="126">
        <v>1</v>
      </c>
      <c r="H30" s="45">
        <f t="shared" si="1"/>
        <v>-2</v>
      </c>
      <c r="I30" s="335"/>
      <c r="Q30" s="335"/>
    </row>
    <row r="31" spans="1:18" ht="13.5" thickBot="1" x14ac:dyDescent="0.25">
      <c r="A31" s="7">
        <v>54</v>
      </c>
      <c r="B31" s="52">
        <v>1</v>
      </c>
      <c r="C31" s="213"/>
      <c r="D31" s="348">
        <v>0</v>
      </c>
      <c r="E31" s="348"/>
      <c r="F31" s="235">
        <v>0</v>
      </c>
      <c r="G31" s="235">
        <v>0</v>
      </c>
      <c r="H31" s="45">
        <f t="shared" si="1"/>
        <v>-1</v>
      </c>
      <c r="I31" s="335"/>
      <c r="J31" s="474" t="s">
        <v>69</v>
      </c>
      <c r="K31" s="475"/>
      <c r="L31" s="475"/>
      <c r="M31" s="475"/>
      <c r="N31" s="476"/>
      <c r="O31" s="68"/>
      <c r="P31" s="17"/>
      <c r="Q31" s="335"/>
    </row>
    <row r="32" spans="1:18" ht="13.5" thickBot="1" x14ac:dyDescent="0.25">
      <c r="A32" s="39" t="s">
        <v>22</v>
      </c>
      <c r="B32" s="12">
        <f>SUM(B18:B31)</f>
        <v>68</v>
      </c>
      <c r="C32" s="12"/>
      <c r="D32" s="13">
        <f>SUM(D18:D30)</f>
        <v>11</v>
      </c>
      <c r="E32" s="13">
        <f>SUM(E18:E30)</f>
        <v>1</v>
      </c>
      <c r="F32" s="14">
        <f>SUM(F18:F30)</f>
        <v>1</v>
      </c>
      <c r="G32" s="14">
        <f>SUM(G18:G30)</f>
        <v>34</v>
      </c>
      <c r="H32" s="14">
        <f>SUM(H18:H31)</f>
        <v>-34</v>
      </c>
      <c r="I32" s="335"/>
      <c r="J32" s="408" t="s">
        <v>9</v>
      </c>
      <c r="K32" s="465" t="s">
        <v>15</v>
      </c>
      <c r="L32" s="680"/>
      <c r="M32" s="614" t="s">
        <v>33</v>
      </c>
      <c r="N32" s="680"/>
      <c r="O32" s="18"/>
      <c r="P32" s="335"/>
      <c r="Q32" s="335"/>
    </row>
    <row r="33" spans="1:17" ht="13.5" thickBot="1" x14ac:dyDescent="0.25">
      <c r="A33" s="42"/>
      <c r="B33" s="222"/>
      <c r="C33" s="222"/>
      <c r="D33" s="335"/>
      <c r="E33" s="335"/>
      <c r="F33" s="6"/>
      <c r="G33" s="335"/>
      <c r="H33" s="11"/>
      <c r="I33" s="335"/>
      <c r="J33" s="599"/>
      <c r="K33" s="681"/>
      <c r="L33" s="682"/>
      <c r="M33" s="681"/>
      <c r="N33" s="682"/>
      <c r="O33" s="18"/>
      <c r="P33" s="18"/>
      <c r="Q33" s="335"/>
    </row>
    <row r="34" spans="1:17" ht="12.75" x14ac:dyDescent="0.2">
      <c r="A34" s="34" t="s">
        <v>11</v>
      </c>
      <c r="B34" s="50">
        <v>8</v>
      </c>
      <c r="C34" s="214"/>
      <c r="D34" s="347">
        <v>7</v>
      </c>
      <c r="E34" s="347">
        <v>0</v>
      </c>
      <c r="F34" s="347">
        <v>2</v>
      </c>
      <c r="G34" s="347">
        <v>8</v>
      </c>
      <c r="H34" s="44">
        <f>(F34+G34)-(B34+E34)</f>
        <v>2</v>
      </c>
      <c r="I34" s="335"/>
      <c r="J34" s="108" t="s">
        <v>182</v>
      </c>
      <c r="K34" s="683">
        <v>10</v>
      </c>
      <c r="L34" s="501"/>
      <c r="M34" s="683">
        <v>6</v>
      </c>
      <c r="N34" s="502"/>
      <c r="O34" s="69"/>
      <c r="P34" s="335"/>
      <c r="Q34" s="335"/>
    </row>
    <row r="35" spans="1:17" ht="12.75" x14ac:dyDescent="0.2">
      <c r="A35" s="35" t="s">
        <v>16</v>
      </c>
      <c r="B35" s="51">
        <v>6</v>
      </c>
      <c r="C35" s="212"/>
      <c r="D35" s="345">
        <v>1</v>
      </c>
      <c r="E35" s="345"/>
      <c r="F35" s="345">
        <v>0</v>
      </c>
      <c r="G35" s="345">
        <v>0</v>
      </c>
      <c r="H35" s="45">
        <f t="shared" ref="H35:H40" si="3">(F35+G35)-(B35+E35)</f>
        <v>-6</v>
      </c>
      <c r="I35" s="335"/>
      <c r="J35" s="109">
        <v>13</v>
      </c>
      <c r="K35" s="586">
        <v>12</v>
      </c>
      <c r="L35" s="684"/>
      <c r="M35" s="685">
        <v>14</v>
      </c>
      <c r="N35" s="505"/>
      <c r="O35" s="17"/>
      <c r="P35" s="335"/>
      <c r="Q35" s="335"/>
    </row>
    <row r="36" spans="1:17" ht="12.75" x14ac:dyDescent="0.2">
      <c r="A36" s="35">
        <v>10</v>
      </c>
      <c r="B36" s="125">
        <v>4</v>
      </c>
      <c r="C36" s="212"/>
      <c r="D36" s="345">
        <v>8</v>
      </c>
      <c r="E36" s="345"/>
      <c r="F36" s="345">
        <v>0</v>
      </c>
      <c r="G36" s="345">
        <v>3</v>
      </c>
      <c r="H36" s="45">
        <f t="shared" si="3"/>
        <v>-1</v>
      </c>
      <c r="I36" s="335"/>
      <c r="J36" s="109"/>
      <c r="K36" s="586">
        <v>0</v>
      </c>
      <c r="L36" s="684"/>
      <c r="M36" s="686"/>
      <c r="N36" s="505"/>
      <c r="O36" s="17"/>
      <c r="P36" s="335"/>
      <c r="Q36" s="335"/>
    </row>
    <row r="37" spans="1:17" ht="12.75" x14ac:dyDescent="0.2">
      <c r="A37" s="35">
        <v>9</v>
      </c>
      <c r="B37" s="51">
        <v>4</v>
      </c>
      <c r="C37" s="212"/>
      <c r="D37" s="345">
        <v>1</v>
      </c>
      <c r="E37" s="345"/>
      <c r="F37" s="345">
        <v>0</v>
      </c>
      <c r="G37" s="345">
        <v>5</v>
      </c>
      <c r="H37" s="45">
        <f>(F37+G37)-(B37+E37)</f>
        <v>1</v>
      </c>
      <c r="I37" s="335"/>
      <c r="J37" s="109"/>
      <c r="K37" s="586">
        <v>0</v>
      </c>
      <c r="L37" s="684"/>
      <c r="M37" s="686"/>
      <c r="N37" s="687"/>
      <c r="O37" s="17"/>
      <c r="P37" s="335"/>
      <c r="Q37" s="335"/>
    </row>
    <row r="38" spans="1:17" ht="13.5" customHeight="1" x14ac:dyDescent="0.2">
      <c r="A38" s="35">
        <v>52</v>
      </c>
      <c r="B38" s="193">
        <v>6</v>
      </c>
      <c r="C38" s="212"/>
      <c r="D38" s="345">
        <v>1</v>
      </c>
      <c r="E38" s="345"/>
      <c r="F38" s="345">
        <v>0</v>
      </c>
      <c r="G38" s="345">
        <v>5</v>
      </c>
      <c r="H38" s="45">
        <f t="shared" si="3"/>
        <v>-1</v>
      </c>
      <c r="I38" s="335"/>
      <c r="J38" s="109"/>
      <c r="K38" s="586">
        <v>0</v>
      </c>
      <c r="L38" s="586"/>
      <c r="M38" s="685"/>
      <c r="N38" s="688"/>
      <c r="O38" s="17"/>
      <c r="P38" s="335"/>
      <c r="Q38" s="335"/>
    </row>
    <row r="39" spans="1:17" ht="13.5" customHeight="1" thickBot="1" x14ac:dyDescent="0.25">
      <c r="A39" s="35">
        <v>53</v>
      </c>
      <c r="B39" s="51">
        <v>6</v>
      </c>
      <c r="C39" s="212"/>
      <c r="D39" s="345">
        <v>0</v>
      </c>
      <c r="E39" s="345"/>
      <c r="F39" s="345">
        <v>0</v>
      </c>
      <c r="G39" s="345">
        <v>0</v>
      </c>
      <c r="H39" s="45">
        <f t="shared" si="3"/>
        <v>-6</v>
      </c>
      <c r="I39" s="335"/>
      <c r="J39" s="219"/>
      <c r="K39" s="492">
        <v>0</v>
      </c>
      <c r="L39" s="492"/>
      <c r="M39" s="690"/>
      <c r="N39" s="704"/>
      <c r="O39" s="17"/>
      <c r="P39" s="335"/>
      <c r="Q39" s="335"/>
    </row>
    <row r="40" spans="1:17" ht="12.75" thickBot="1" x14ac:dyDescent="0.25">
      <c r="A40" s="7">
        <v>54</v>
      </c>
      <c r="B40" s="52">
        <v>6</v>
      </c>
      <c r="C40" s="213"/>
      <c r="D40" s="348">
        <v>0</v>
      </c>
      <c r="E40" s="348"/>
      <c r="F40" s="348">
        <v>0</v>
      </c>
      <c r="G40" s="348">
        <v>3</v>
      </c>
      <c r="H40" s="40">
        <f t="shared" si="3"/>
        <v>-3</v>
      </c>
      <c r="I40" s="335"/>
      <c r="J40" s="563" t="s">
        <v>109</v>
      </c>
      <c r="K40" s="564"/>
      <c r="L40" s="567" t="s">
        <v>110</v>
      </c>
      <c r="M40" s="569" t="s">
        <v>20</v>
      </c>
      <c r="N40" s="561" t="s">
        <v>111</v>
      </c>
      <c r="O40" s="17"/>
      <c r="P40" s="335"/>
      <c r="Q40" s="335"/>
    </row>
    <row r="41" spans="1:17" ht="12.75" thickBot="1" x14ac:dyDescent="0.25">
      <c r="A41" s="39" t="s">
        <v>22</v>
      </c>
      <c r="B41" s="12">
        <f t="shared" ref="B41:H41" si="4">SUM(B34:B40)</f>
        <v>40</v>
      </c>
      <c r="C41" s="12"/>
      <c r="D41" s="13">
        <f t="shared" si="4"/>
        <v>18</v>
      </c>
      <c r="E41" s="13">
        <f t="shared" si="4"/>
        <v>0</v>
      </c>
      <c r="F41" s="14">
        <f t="shared" si="4"/>
        <v>2</v>
      </c>
      <c r="G41" s="14">
        <f t="shared" si="4"/>
        <v>24</v>
      </c>
      <c r="H41" s="14">
        <f t="shared" si="4"/>
        <v>-14</v>
      </c>
      <c r="I41" s="335"/>
      <c r="J41" s="565"/>
      <c r="K41" s="566"/>
      <c r="L41" s="568"/>
      <c r="M41" s="570"/>
      <c r="N41" s="562"/>
      <c r="O41" s="17"/>
      <c r="P41" s="335"/>
    </row>
    <row r="42" spans="1:17" ht="12.75" thickBot="1" x14ac:dyDescent="0.25">
      <c r="A42" s="42"/>
      <c r="B42" s="222"/>
      <c r="C42" s="222"/>
      <c r="D42" s="335"/>
      <c r="E42" s="335"/>
      <c r="F42" s="6"/>
      <c r="G42" s="335"/>
      <c r="H42" s="11"/>
      <c r="I42" s="335"/>
      <c r="J42" s="593" t="s">
        <v>108</v>
      </c>
      <c r="K42" s="594"/>
      <c r="L42" s="594"/>
      <c r="M42" s="594"/>
      <c r="N42" s="595"/>
      <c r="O42" s="17"/>
      <c r="P42" s="335"/>
    </row>
    <row r="43" spans="1:17" ht="12.75" customHeight="1" x14ac:dyDescent="0.2">
      <c r="A43" s="34">
        <v>31</v>
      </c>
      <c r="B43" s="50">
        <v>4</v>
      </c>
      <c r="C43" s="214"/>
      <c r="D43" s="347">
        <v>0</v>
      </c>
      <c r="E43" s="347"/>
      <c r="F43" s="347">
        <v>0</v>
      </c>
      <c r="G43" s="347">
        <v>0</v>
      </c>
      <c r="H43" s="44">
        <f>(F43+G43)-(B43+E43)</f>
        <v>-4</v>
      </c>
      <c r="I43" s="335"/>
      <c r="J43" s="571">
        <v>8</v>
      </c>
      <c r="K43" s="572"/>
      <c r="L43" s="575">
        <v>2</v>
      </c>
      <c r="M43" s="575">
        <v>1</v>
      </c>
      <c r="N43" s="577">
        <v>5</v>
      </c>
      <c r="O43" s="17"/>
      <c r="P43" s="335"/>
    </row>
    <row r="44" spans="1:17" ht="13.5" customHeight="1" thickBot="1" x14ac:dyDescent="0.25">
      <c r="A44" s="7">
        <v>33</v>
      </c>
      <c r="B44" s="52">
        <v>4</v>
      </c>
      <c r="C44" s="213"/>
      <c r="D44" s="348">
        <v>2</v>
      </c>
      <c r="E44" s="348"/>
      <c r="F44" s="348">
        <v>0</v>
      </c>
      <c r="G44" s="348">
        <v>1</v>
      </c>
      <c r="H44" s="40">
        <f>(F44+G44)-(B44+E44)</f>
        <v>-3</v>
      </c>
      <c r="I44" s="335"/>
      <c r="J44" s="573"/>
      <c r="K44" s="574"/>
      <c r="L44" s="576"/>
      <c r="M44" s="576"/>
      <c r="N44" s="578"/>
    </row>
    <row r="45" spans="1:17" ht="12.75" thickBot="1" x14ac:dyDescent="0.25">
      <c r="A45" s="223" t="s">
        <v>22</v>
      </c>
      <c r="B45" s="224">
        <f t="shared" ref="B45:H45" si="5">SUM(B43:B44)</f>
        <v>8</v>
      </c>
      <c r="C45" s="224"/>
      <c r="D45" s="13">
        <f t="shared" si="5"/>
        <v>2</v>
      </c>
      <c r="E45" s="13">
        <f t="shared" si="5"/>
        <v>0</v>
      </c>
      <c r="F45" s="14">
        <f t="shared" si="5"/>
        <v>0</v>
      </c>
      <c r="G45" s="14">
        <f t="shared" si="5"/>
        <v>1</v>
      </c>
      <c r="H45" s="14">
        <f t="shared" si="5"/>
        <v>-7</v>
      </c>
      <c r="I45" s="335"/>
      <c r="J45" s="692" t="s">
        <v>118</v>
      </c>
      <c r="K45" s="693"/>
      <c r="L45" s="693"/>
      <c r="M45" s="693"/>
      <c r="N45" s="694"/>
      <c r="O45" s="343" t="s">
        <v>6</v>
      </c>
    </row>
    <row r="46" spans="1:17" ht="9.75" customHeight="1" x14ac:dyDescent="0.2">
      <c r="A46" s="286"/>
      <c r="B46" s="287"/>
      <c r="C46" s="287"/>
      <c r="D46" s="290"/>
      <c r="E46" s="335"/>
      <c r="F46" s="335"/>
      <c r="G46" s="335"/>
      <c r="H46" s="335"/>
      <c r="J46" s="695">
        <v>2</v>
      </c>
      <c r="K46" s="696"/>
      <c r="L46" s="705"/>
      <c r="M46" s="699"/>
      <c r="N46" s="701">
        <v>2</v>
      </c>
    </row>
    <row r="47" spans="1:17" ht="13.5" customHeight="1" thickBot="1" x14ac:dyDescent="0.25">
      <c r="J47" s="697"/>
      <c r="K47" s="698"/>
      <c r="L47" s="706"/>
      <c r="M47" s="700"/>
      <c r="N47" s="702"/>
    </row>
  </sheetData>
  <sheetProtection password="9D31" sheet="1" objects="1" scenarios="1" selectLockedCells="1"/>
  <mergeCells count="75">
    <mergeCell ref="J46:K47"/>
    <mergeCell ref="L46:L47"/>
    <mergeCell ref="M46:M47"/>
    <mergeCell ref="N46:N47"/>
    <mergeCell ref="J42:N42"/>
    <mergeCell ref="J43:K44"/>
    <mergeCell ref="L43:L44"/>
    <mergeCell ref="M43:M44"/>
    <mergeCell ref="N43:N44"/>
    <mergeCell ref="J45:N45"/>
    <mergeCell ref="K38:L38"/>
    <mergeCell ref="M38:N38"/>
    <mergeCell ref="K39:L39"/>
    <mergeCell ref="M39:N39"/>
    <mergeCell ref="J40:K41"/>
    <mergeCell ref="L40:L41"/>
    <mergeCell ref="M40:M41"/>
    <mergeCell ref="N40:N41"/>
    <mergeCell ref="K35:L35"/>
    <mergeCell ref="M35:N35"/>
    <mergeCell ref="K36:L36"/>
    <mergeCell ref="M36:N36"/>
    <mergeCell ref="K37:L37"/>
    <mergeCell ref="M37:N37"/>
    <mergeCell ref="J31:N31"/>
    <mergeCell ref="J32:J33"/>
    <mergeCell ref="K32:L33"/>
    <mergeCell ref="M32:N33"/>
    <mergeCell ref="K34:L34"/>
    <mergeCell ref="M34:N34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A13:E13"/>
    <mergeCell ref="H13:J13"/>
    <mergeCell ref="M13:N13"/>
    <mergeCell ref="A16:H16"/>
    <mergeCell ref="J16:P16"/>
    <mergeCell ref="A11:E11"/>
    <mergeCell ref="H11:J11"/>
    <mergeCell ref="M11:N11"/>
    <mergeCell ref="A12:E12"/>
    <mergeCell ref="H12:J12"/>
    <mergeCell ref="M12:N12"/>
    <mergeCell ref="A9:E9"/>
    <mergeCell ref="H9:J9"/>
    <mergeCell ref="M9:N9"/>
    <mergeCell ref="A10:E10"/>
    <mergeCell ref="H10:J10"/>
    <mergeCell ref="M10:N10"/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</mergeCells>
  <conditionalFormatting sqref="F34:F36 F38:F40 F18:F31">
    <cfRule type="cellIs" dxfId="50" priority="26" operator="greaterThanOrEqual">
      <formula>B18</formula>
    </cfRule>
  </conditionalFormatting>
  <conditionalFormatting sqref="G18:G31">
    <cfRule type="cellIs" dxfId="49" priority="25" operator="greaterThan">
      <formula>0</formula>
    </cfRule>
  </conditionalFormatting>
  <conditionalFormatting sqref="H43:H44 H34:H40 H18:H31">
    <cfRule type="cellIs" dxfId="48" priority="24" operator="lessThan">
      <formula>0</formula>
    </cfRule>
  </conditionalFormatting>
  <conditionalFormatting sqref="H43:H44 H34:H40 H18:H31">
    <cfRule type="cellIs" dxfId="47" priority="23" operator="greaterThanOrEqual">
      <formula>0</formula>
    </cfRule>
  </conditionalFormatting>
  <conditionalFormatting sqref="G18:G31">
    <cfRule type="cellIs" dxfId="46" priority="22" operator="equal">
      <formula>0</formula>
    </cfRule>
  </conditionalFormatting>
  <conditionalFormatting sqref="F34:F36 F38:F40 F18:F31">
    <cfRule type="cellIs" dxfId="45" priority="21" operator="lessThan">
      <formula>B18</formula>
    </cfRule>
  </conditionalFormatting>
  <conditionalFormatting sqref="G34:G36 G38:G40">
    <cfRule type="cellIs" dxfId="44" priority="19" operator="greaterThan">
      <formula>0</formula>
    </cfRule>
    <cfRule type="cellIs" dxfId="43" priority="20" operator="equal">
      <formula>0</formula>
    </cfRule>
  </conditionalFormatting>
  <conditionalFormatting sqref="H34:H40">
    <cfRule type="cellIs" dxfId="42" priority="17" operator="greaterThanOrEqual">
      <formula>0</formula>
    </cfRule>
    <cfRule type="cellIs" dxfId="41" priority="18" operator="lessThan">
      <formula>0</formula>
    </cfRule>
  </conditionalFormatting>
  <conditionalFormatting sqref="F43:F44">
    <cfRule type="cellIs" dxfId="40" priority="16" operator="lessThan">
      <formula>B43</formula>
    </cfRule>
  </conditionalFormatting>
  <conditionalFormatting sqref="F43:F44">
    <cfRule type="cellIs" dxfId="39" priority="15" operator="greaterThanOrEqual">
      <formula>B43</formula>
    </cfRule>
  </conditionalFormatting>
  <conditionalFormatting sqref="G37 G43:G44">
    <cfRule type="cellIs" dxfId="38" priority="13" operator="equal">
      <formula>0</formula>
    </cfRule>
    <cfRule type="cellIs" dxfId="37" priority="14" operator="greaterThan">
      <formula>0</formula>
    </cfRule>
  </conditionalFormatting>
  <conditionalFormatting sqref="H43:H44">
    <cfRule type="cellIs" dxfId="36" priority="11" operator="lessThan">
      <formula>0</formula>
    </cfRule>
    <cfRule type="cellIs" dxfId="35" priority="12" operator="greaterThanOrEqual">
      <formula>0</formula>
    </cfRule>
  </conditionalFormatting>
  <conditionalFormatting sqref="F37">
    <cfRule type="cellIs" dxfId="34" priority="9" operator="greaterThanOrEqual">
      <formula>$B$37</formula>
    </cfRule>
    <cfRule type="cellIs" dxfId="33" priority="10" operator="lessThan">
      <formula>$B$37</formula>
    </cfRule>
  </conditionalFormatting>
  <conditionalFormatting sqref="Q18:Q20 O18:O20 Q25:Q29">
    <cfRule type="cellIs" dxfId="32" priority="8" operator="between">
      <formula>1</formula>
      <formula>9</formula>
    </cfRule>
  </conditionalFormatting>
  <conditionalFormatting sqref="N18">
    <cfRule type="cellIs" dxfId="31" priority="7" operator="greaterThan">
      <formula>0</formula>
    </cfRule>
  </conditionalFormatting>
  <conditionalFormatting sqref="M18 M34:N37 M38:M39">
    <cfRule type="cellIs" dxfId="30" priority="6" operator="greaterThan">
      <formula>0</formula>
    </cfRule>
  </conditionalFormatting>
  <conditionalFormatting sqref="O13 F13 K13">
    <cfRule type="cellIs" dxfId="29" priority="4" operator="greaterThan">
      <formula>-1</formula>
    </cfRule>
    <cfRule type="cellIs" dxfId="28" priority="5" operator="lessThan">
      <formula>0</formula>
    </cfRule>
  </conditionalFormatting>
  <conditionalFormatting sqref="O25:O29">
    <cfRule type="cellIs" dxfId="27" priority="2" operator="lessThanOrEqual">
      <formula>0</formula>
    </cfRule>
    <cfRule type="cellIs" dxfId="26" priority="3" operator="greaterThan">
      <formula>0</formula>
    </cfRule>
  </conditionalFormatting>
  <pageMargins left="0.7" right="0.7" top="0.75" bottom="0.75" header="0.3" footer="0.3"/>
  <pageSetup paperSize="9" scale="5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734" t="str">
        <f>'Sitrep 0830'!E3</f>
        <v>SATURDAY</v>
      </c>
      <c r="D1" s="734"/>
      <c r="E1" s="735">
        <f>'Sitrep 0830'!B3</f>
        <v>43862</v>
      </c>
      <c r="F1" s="735"/>
    </row>
    <row r="2" spans="1:6" ht="13.5" thickBot="1" x14ac:dyDescent="0.25"/>
    <row r="3" spans="1:6" ht="24" thickBot="1" x14ac:dyDescent="0.4">
      <c r="A3" s="238" t="s">
        <v>126</v>
      </c>
      <c r="C3" s="244" t="s">
        <v>125</v>
      </c>
      <c r="D3" s="736"/>
      <c r="E3" s="737"/>
      <c r="F3" s="738"/>
    </row>
    <row r="4" spans="1:6" ht="15.75" thickBot="1" x14ac:dyDescent="0.3">
      <c r="A4" s="238" t="s">
        <v>139</v>
      </c>
      <c r="C4" s="265"/>
      <c r="D4" s="264"/>
      <c r="E4" s="264"/>
      <c r="F4" s="264"/>
    </row>
    <row r="5" spans="1:6" ht="13.5" thickBot="1" x14ac:dyDescent="0.25">
      <c r="A5" s="238" t="s">
        <v>140</v>
      </c>
      <c r="C5" s="733" t="s">
        <v>134</v>
      </c>
      <c r="D5" s="723"/>
      <c r="E5" s="723"/>
      <c r="F5" s="724"/>
    </row>
    <row r="6" spans="1:6" x14ac:dyDescent="0.2">
      <c r="A6" s="238" t="s">
        <v>141</v>
      </c>
      <c r="C6" s="732" t="s">
        <v>131</v>
      </c>
      <c r="D6" s="708"/>
      <c r="E6" s="708"/>
      <c r="F6" s="257" t="e">
        <f>SUM('Safety Huddle'!I7:J7)</f>
        <v>#DIV/0!</v>
      </c>
    </row>
    <row r="7" spans="1:6" x14ac:dyDescent="0.2">
      <c r="A7" s="238" t="s">
        <v>142</v>
      </c>
      <c r="C7" s="731" t="s">
        <v>133</v>
      </c>
      <c r="D7" s="710"/>
      <c r="E7" s="710"/>
      <c r="F7" s="258">
        <f>SUM('Sitrep 0830'!N18:N20)</f>
        <v>0</v>
      </c>
    </row>
    <row r="8" spans="1:6" ht="12.75" customHeight="1" x14ac:dyDescent="0.2">
      <c r="A8" s="238" t="s">
        <v>143</v>
      </c>
      <c r="C8" s="731" t="s">
        <v>132</v>
      </c>
      <c r="D8" s="710"/>
      <c r="E8" s="710"/>
      <c r="F8" s="259">
        <f>SUM('Sitrep 0830'!O18:O20)</f>
        <v>0</v>
      </c>
    </row>
    <row r="9" spans="1:6" ht="15" customHeight="1" x14ac:dyDescent="0.2">
      <c r="A9" s="238" t="s">
        <v>144</v>
      </c>
      <c r="C9" s="729" t="s">
        <v>129</v>
      </c>
      <c r="D9" s="730"/>
      <c r="E9" s="730"/>
      <c r="F9" s="240">
        <f>(SUM('Sitrep 0830'!R18:R20))+(SUM('Sitrep 0830'!Q44:Q45))</f>
        <v>0</v>
      </c>
    </row>
    <row r="10" spans="1:6" ht="13.5" thickBot="1" x14ac:dyDescent="0.25">
      <c r="A10" s="238" t="s">
        <v>145</v>
      </c>
      <c r="C10" s="727" t="s">
        <v>155</v>
      </c>
      <c r="D10" s="728"/>
      <c r="E10" s="728"/>
      <c r="F10" s="249">
        <f>SUM('Sitrep 0830'!S18:S20)</f>
        <v>0</v>
      </c>
    </row>
    <row r="11" spans="1:6" ht="13.5" thickBot="1" x14ac:dyDescent="0.25"/>
    <row r="12" spans="1:6" ht="13.5" thickBot="1" x14ac:dyDescent="0.25">
      <c r="A12" t="s">
        <v>113</v>
      </c>
      <c r="C12" s="725" t="s">
        <v>95</v>
      </c>
      <c r="D12" s="726"/>
      <c r="E12" s="725" t="s">
        <v>128</v>
      </c>
      <c r="F12" s="726"/>
    </row>
    <row r="13" spans="1:6" x14ac:dyDescent="0.2">
      <c r="A13" t="s">
        <v>149</v>
      </c>
      <c r="C13" s="262" t="s">
        <v>123</v>
      </c>
      <c r="D13" s="263" t="s">
        <v>124</v>
      </c>
      <c r="E13" s="262" t="s">
        <v>160</v>
      </c>
      <c r="F13" s="263" t="s">
        <v>159</v>
      </c>
    </row>
    <row r="14" spans="1:6" ht="13.5" thickBot="1" x14ac:dyDescent="0.25">
      <c r="C14" s="257">
        <f>((((SUM('Night Capacity Report'!A8:A21)+15)-((IF((SUM('Sitrep 0830'!O44:P45))&gt;0,(7-(SUM('Sitrep 0830'!O44:P45))),0))+(SUM('Sitrep 0830'!O29))+'Sitrep 0830'!D32)))+((IF('Sitrep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0830'!R39:S39)),0))))/((SUM('Night Capacity Report'!A8:A21)+15))</f>
        <v>1</v>
      </c>
      <c r="D14" s="257">
        <f>((((SUM('Night Capacity Report'!A24:A30)+(SUM('Night Capacity Report'!A33:A34)))-('Sitrep 0830'!D42+'Sitrep 0830'!D46)))+((IF('Sitrep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0830'!R39:S39)),0))))/(SUM('Night Capacity Report'!A24:A30)+(SUM('Night Capacity Report'!A33:A34)))</f>
        <v>1</v>
      </c>
      <c r="E14" s="241">
        <f>SUM('Sitrep 0830'!B32,'Sitrep 0830'!B42,'Sitrep 0830'!B46)</f>
        <v>0</v>
      </c>
      <c r="F14" s="249">
        <f>SUM('Sitrep 0830'!C32,'Sitrep 0830'!C42,'Sitrep 0830'!C46)</f>
        <v>0</v>
      </c>
    </row>
    <row r="15" spans="1:6" x14ac:dyDescent="0.2">
      <c r="C15" s="245" t="s">
        <v>161</v>
      </c>
      <c r="D15" s="240">
        <f>SUM('Sitrep 0830'!R34:S40)</f>
        <v>0</v>
      </c>
      <c r="E15" s="260" t="s">
        <v>163</v>
      </c>
      <c r="F15" s="261" t="s">
        <v>135</v>
      </c>
    </row>
    <row r="16" spans="1:6" ht="13.5" thickBot="1" x14ac:dyDescent="0.25">
      <c r="C16" s="252" t="s">
        <v>162</v>
      </c>
      <c r="D16" s="253">
        <f>((((SUM('Night Capacity Report'!A24:A30)+(SUM('Night Capacity Report'!A33:A34)))-('Sitrep 0830'!D42+'Sitrep 0830'!D46))+((((SUM('Night Capacity Report'!A8:A21)+15)-((SUM('Sitrep 0830'!O44:P45))+(SUM('Sitrep 0830'!O29))+'Sitrep 0830'!D32))+((IF('Sitrep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0830'!R39:S39)),0))+ 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0830'!R39:S39)),0)))))))/((SUM('Night Capacity Report'!A24:A30)+(SUM('Night Capacity Report'!A33:A34)))+((SUM('Night Capacity Report'!A8:A21)+15))))</f>
        <v>1</v>
      </c>
      <c r="E16" s="241">
        <f>SUM('Sitrep 0830'!O25:O29)</f>
        <v>0</v>
      </c>
      <c r="F16" s="249">
        <f>'Sitrep 0830'!O25</f>
        <v>0</v>
      </c>
    </row>
    <row r="17" spans="3:6" ht="13.5" thickBot="1" x14ac:dyDescent="0.25"/>
    <row r="18" spans="3:6" x14ac:dyDescent="0.2">
      <c r="C18" s="717" t="s">
        <v>138</v>
      </c>
      <c r="D18" s="718"/>
      <c r="E18" s="719" t="s">
        <v>156</v>
      </c>
      <c r="F18" s="718"/>
    </row>
    <row r="19" spans="3:6" x14ac:dyDescent="0.2">
      <c r="C19" s="245" t="s">
        <v>136</v>
      </c>
      <c r="D19" s="251" t="s">
        <v>35</v>
      </c>
      <c r="E19" s="254" t="s">
        <v>136</v>
      </c>
      <c r="F19" s="251" t="s">
        <v>35</v>
      </c>
    </row>
    <row r="20" spans="3:6" x14ac:dyDescent="0.2">
      <c r="C20" s="239"/>
      <c r="D20" s="240"/>
      <c r="E20" s="255">
        <f>'Sitrep 0830'!P7</f>
        <v>81</v>
      </c>
      <c r="F20" s="240">
        <f>'Sitrep 0830'!P12</f>
        <v>10</v>
      </c>
    </row>
    <row r="21" spans="3:6" ht="13.5" thickBot="1" x14ac:dyDescent="0.25">
      <c r="C21" s="252" t="s">
        <v>137</v>
      </c>
      <c r="D21" s="271">
        <f>D20-C20</f>
        <v>0</v>
      </c>
      <c r="E21" s="256" t="s">
        <v>137</v>
      </c>
      <c r="F21" s="271">
        <f>F20-E20</f>
        <v>-71</v>
      </c>
    </row>
    <row r="22" spans="3:6" ht="13.5" thickBot="1" x14ac:dyDescent="0.25"/>
    <row r="23" spans="3:6" x14ac:dyDescent="0.2">
      <c r="C23" s="717" t="s">
        <v>157</v>
      </c>
      <c r="D23" s="718"/>
      <c r="E23" s="720" t="s">
        <v>170</v>
      </c>
      <c r="F23" s="721"/>
    </row>
    <row r="24" spans="3:6" x14ac:dyDescent="0.2">
      <c r="C24" s="267" t="s">
        <v>172</v>
      </c>
      <c r="D24" s="251" t="s">
        <v>158</v>
      </c>
      <c r="E24" s="254" t="s">
        <v>169</v>
      </c>
      <c r="F24" s="251" t="s">
        <v>171</v>
      </c>
    </row>
    <row r="25" spans="3:6" x14ac:dyDescent="0.2">
      <c r="C25" s="239"/>
      <c r="D25" s="240"/>
      <c r="E25" s="255"/>
      <c r="F25" s="240"/>
    </row>
    <row r="26" spans="3:6" ht="13.5" thickBot="1" x14ac:dyDescent="0.25">
      <c r="C26" s="252" t="s">
        <v>164</v>
      </c>
      <c r="D26" s="253" t="e">
        <f>D25/C25</f>
        <v>#DIV/0!</v>
      </c>
      <c r="E26" s="256"/>
      <c r="F26" s="253"/>
    </row>
    <row r="27" spans="3:6" ht="13.5" thickBot="1" x14ac:dyDescent="0.25"/>
    <row r="28" spans="3:6" ht="13.5" thickBot="1" x14ac:dyDescent="0.25">
      <c r="C28" s="247"/>
      <c r="D28" s="272" t="s">
        <v>147</v>
      </c>
    </row>
    <row r="29" spans="3:6" ht="13.5" thickBot="1" x14ac:dyDescent="0.25">
      <c r="C29" s="246" t="s">
        <v>146</v>
      </c>
      <c r="D29" s="269"/>
    </row>
    <row r="30" spans="3:6" ht="13.5" thickBot="1" x14ac:dyDescent="0.25"/>
    <row r="31" spans="3:6" ht="13.5" thickBot="1" x14ac:dyDescent="0.25">
      <c r="C31" s="722" t="s">
        <v>148</v>
      </c>
      <c r="D31" s="723"/>
      <c r="E31" s="723"/>
      <c r="F31" s="724"/>
    </row>
    <row r="32" spans="3:6" x14ac:dyDescent="0.2">
      <c r="C32" s="707" t="s">
        <v>150</v>
      </c>
      <c r="D32" s="708"/>
      <c r="E32" s="708"/>
      <c r="F32" s="258"/>
    </row>
    <row r="33" spans="3:6" x14ac:dyDescent="0.2">
      <c r="C33" s="709" t="s">
        <v>165</v>
      </c>
      <c r="D33" s="710"/>
      <c r="E33" s="710"/>
      <c r="F33" s="258"/>
    </row>
    <row r="34" spans="3:6" ht="13.5" thickBot="1" x14ac:dyDescent="0.25">
      <c r="C34" s="709" t="s">
        <v>151</v>
      </c>
      <c r="D34" s="710"/>
      <c r="E34" s="710"/>
      <c r="F34" s="266"/>
    </row>
    <row r="35" spans="3:6" x14ac:dyDescent="0.2">
      <c r="C35" s="711" t="s">
        <v>152</v>
      </c>
      <c r="D35" s="712"/>
      <c r="E35" s="712"/>
      <c r="F35" s="713"/>
    </row>
    <row r="36" spans="3:6" x14ac:dyDescent="0.2">
      <c r="C36" s="707" t="s">
        <v>154</v>
      </c>
      <c r="D36" s="716"/>
      <c r="E36" s="714" t="s">
        <v>168</v>
      </c>
      <c r="F36" s="715"/>
    </row>
    <row r="37" spans="3:6" x14ac:dyDescent="0.2">
      <c r="C37" s="82" t="s">
        <v>166</v>
      </c>
      <c r="D37" s="250" t="s">
        <v>167</v>
      </c>
      <c r="E37" s="270" t="s">
        <v>166</v>
      </c>
      <c r="F37" s="251" t="s">
        <v>167</v>
      </c>
    </row>
    <row r="38" spans="3:6" ht="12.75" customHeight="1" thickBot="1" x14ac:dyDescent="0.25">
      <c r="C38" s="241"/>
      <c r="D38" s="248"/>
      <c r="E38" s="268"/>
      <c r="F38" s="249"/>
    </row>
    <row r="39" spans="3:6" x14ac:dyDescent="0.2">
      <c r="C39" s="743" t="s">
        <v>153</v>
      </c>
      <c r="D39" s="744"/>
      <c r="E39" s="744"/>
      <c r="F39" s="745"/>
    </row>
    <row r="40" spans="3:6" x14ac:dyDescent="0.2">
      <c r="C40" s="746" t="s">
        <v>154</v>
      </c>
      <c r="D40" s="747"/>
      <c r="E40" s="748" t="s">
        <v>148</v>
      </c>
      <c r="F40" s="749"/>
    </row>
    <row r="41" spans="3:6" ht="12.75" customHeight="1" thickBot="1" x14ac:dyDescent="0.25">
      <c r="C41" s="739"/>
      <c r="D41" s="740"/>
      <c r="E41" s="741"/>
      <c r="F41" s="742"/>
    </row>
  </sheetData>
  <mergeCells count="27">
    <mergeCell ref="C41:D41"/>
    <mergeCell ref="E41:F41"/>
    <mergeCell ref="C39:F39"/>
    <mergeCell ref="C40:D40"/>
    <mergeCell ref="E40:F40"/>
    <mergeCell ref="C7:E7"/>
    <mergeCell ref="C6:E6"/>
    <mergeCell ref="C5:F5"/>
    <mergeCell ref="C1:D1"/>
    <mergeCell ref="E1:F1"/>
    <mergeCell ref="D3:F3"/>
    <mergeCell ref="E12:F12"/>
    <mergeCell ref="C12:D12"/>
    <mergeCell ref="C10:E10"/>
    <mergeCell ref="C9:E9"/>
    <mergeCell ref="C8:E8"/>
    <mergeCell ref="C18:D18"/>
    <mergeCell ref="E18:F18"/>
    <mergeCell ref="C23:D23"/>
    <mergeCell ref="E23:F23"/>
    <mergeCell ref="C31:F31"/>
    <mergeCell ref="C32:E32"/>
    <mergeCell ref="C33:E33"/>
    <mergeCell ref="C34:E34"/>
    <mergeCell ref="C35:F35"/>
    <mergeCell ref="E36:F36"/>
    <mergeCell ref="C36:D36"/>
  </mergeCells>
  <conditionalFormatting sqref="D3:D4">
    <cfRule type="cellIs" dxfId="25" priority="27" operator="equal">
      <formula>"Critical"</formula>
    </cfRule>
    <cfRule type="cellIs" dxfId="24" priority="28" operator="between">
      <formula>"Red Level 1"</formula>
      <formula>"Red Level 3"</formula>
    </cfRule>
    <cfRule type="cellIs" dxfId="23" priority="29" operator="between">
      <formula>"Amber Level 1"</formula>
      <formula>"Amber Level 3"</formula>
    </cfRule>
    <cfRule type="cellIs" dxfId="22" priority="30" operator="equal">
      <formula>"Green"</formula>
    </cfRule>
  </conditionalFormatting>
  <conditionalFormatting sqref="D14">
    <cfRule type="cellIs" dxfId="21" priority="19" operator="greaterThanOrEqual">
      <formula>1</formula>
    </cfRule>
    <cfRule type="cellIs" dxfId="20" priority="20" operator="between">
      <formula>0.951</formula>
      <formula>0.999</formula>
    </cfRule>
    <cfRule type="cellIs" dxfId="19" priority="21" operator="between">
      <formula>0.901</formula>
      <formula>0.95</formula>
    </cfRule>
    <cfRule type="cellIs" dxfId="18" priority="22" operator="between">
      <formula>0.85</formula>
      <formula>0.9</formula>
    </cfRule>
  </conditionalFormatting>
  <conditionalFormatting sqref="C14">
    <cfRule type="cellIs" dxfId="17" priority="15" operator="greaterThan">
      <formula>1.05</formula>
    </cfRule>
    <cfRule type="cellIs" dxfId="16" priority="16" operator="between">
      <formula>1</formula>
      <formula>1.05</formula>
    </cfRule>
    <cfRule type="cellIs" dxfId="15" priority="17" operator="between">
      <formula>0.981</formula>
      <formula>0.999</formula>
    </cfRule>
    <cfRule type="cellIs" dxfId="14" priority="18" operator="greaterThanOrEqual">
      <formula>0.98</formula>
    </cfRule>
  </conditionalFormatting>
  <conditionalFormatting sqref="F9">
    <cfRule type="cellIs" dxfId="13" priority="11" operator="greaterThan">
      <formula>10</formula>
    </cfRule>
    <cfRule type="cellIs" dxfId="12" priority="12" operator="between">
      <formula>6</formula>
      <formula>10</formula>
    </cfRule>
    <cfRule type="cellIs" dxfId="11" priority="13" operator="between">
      <formula>3</formula>
      <formula>5</formula>
    </cfRule>
    <cfRule type="cellIs" dxfId="10" priority="14" operator="between">
      <formula>0</formula>
      <formula>2</formula>
    </cfRule>
  </conditionalFormatting>
  <conditionalFormatting sqref="F16">
    <cfRule type="cellIs" dxfId="9" priority="7" operator="equal">
      <formula>0</formula>
    </cfRule>
    <cfRule type="cellIs" dxfId="8" priority="8" operator="equal">
      <formula>2</formula>
    </cfRule>
    <cfRule type="cellIs" dxfId="7" priority="9" operator="equal">
      <formula>1</formula>
    </cfRule>
    <cfRule type="cellIs" dxfId="6" priority="10" operator="greaterThan">
      <formula>2</formula>
    </cfRule>
  </conditionalFormatting>
  <conditionalFormatting sqref="F14">
    <cfRule type="cellIs" dxfId="5" priority="3" operator="greaterThanOrEqual">
      <formula>30</formula>
    </cfRule>
    <cfRule type="cellIs" dxfId="4" priority="4" operator="between">
      <formula>20</formula>
      <formula>29</formula>
    </cfRule>
    <cfRule type="cellIs" dxfId="3" priority="5" operator="between">
      <formula>11</formula>
      <formula>19</formula>
    </cfRule>
    <cfRule type="cellIs" dxfId="2" priority="6" operator="lessThan">
      <formula>11</formula>
    </cfRule>
  </conditionalFormatting>
  <conditionalFormatting sqref="F34">
    <cfRule type="cellIs" dxfId="1" priority="1" operator="lessThan">
      <formula>1</formula>
    </cfRule>
    <cfRule type="cellIs" dxfId="0" priority="2" operator="greaterThanOrEqual">
      <formula>1</formula>
    </cfRule>
  </conditionalFormatting>
  <dataValidations count="3">
    <dataValidation type="list" allowBlank="1" showInputMessage="1" showErrorMessage="1" sqref="D29" xr:uid="{00000000-0002-0000-0600-000000000000}">
      <formula1>$A$12:$A$13</formula1>
    </dataValidation>
    <dataValidation type="list" allowBlank="1" showInputMessage="1" showErrorMessage="1" sqref="D4:F4" xr:uid="{00000000-0002-0000-0600-000001000000}">
      <formula1>$A$3:$A$5</formula1>
    </dataValidation>
    <dataValidation type="list" allowBlank="1" showInputMessage="1" showErrorMessage="1" sqref="D3:F3" xr:uid="{00000000-0002-0000-06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W37"/>
  <sheetViews>
    <sheetView showGridLines="0" workbookViewId="0">
      <selection activeCell="AB12" sqref="AB12"/>
    </sheetView>
  </sheetViews>
  <sheetFormatPr defaultRowHeight="12.75" x14ac:dyDescent="0.2"/>
  <cols>
    <col min="1" max="1" width="1.5703125" style="238" customWidth="1"/>
    <col min="2" max="2" width="9.5703125" style="238" customWidth="1"/>
    <col min="3" max="3" width="8.85546875" style="238" customWidth="1"/>
    <col min="4" max="4" width="11.5703125" style="238" customWidth="1"/>
    <col min="5" max="6" width="9.140625" style="238"/>
    <col min="7" max="7" width="5.5703125" style="238" customWidth="1"/>
    <col min="8" max="8" width="11.5703125" style="238" customWidth="1"/>
    <col min="9" max="10" width="9.140625" style="238"/>
    <col min="11" max="11" width="11.42578125" style="238" customWidth="1"/>
    <col min="12" max="17" width="9.140625" style="238"/>
    <col min="18" max="18" width="5.85546875" style="238" customWidth="1"/>
    <col min="19" max="20" width="9.140625" style="238"/>
    <col min="21" max="21" width="11.140625" style="238" customWidth="1"/>
    <col min="22" max="16384" width="9.140625" style="238"/>
  </cols>
  <sheetData>
    <row r="1" spans="1:23" ht="32.25" customHeight="1" thickBot="1" x14ac:dyDescent="0.25">
      <c r="A1" s="783" t="s">
        <v>197</v>
      </c>
      <c r="B1" s="783"/>
      <c r="C1" s="783"/>
      <c r="D1" s="783"/>
      <c r="E1" s="783"/>
      <c r="F1" s="783"/>
      <c r="G1" s="783"/>
      <c r="H1" s="783"/>
      <c r="I1" s="783"/>
      <c r="J1" s="397"/>
      <c r="K1" s="377"/>
      <c r="L1" s="377"/>
    </row>
    <row r="2" spans="1:23" ht="12.75" customHeight="1" x14ac:dyDescent="0.2">
      <c r="B2" s="785" t="s">
        <v>190</v>
      </c>
      <c r="C2" s="785"/>
      <c r="D2" s="785"/>
      <c r="E2" s="378"/>
      <c r="F2" s="786"/>
      <c r="G2" s="787"/>
      <c r="H2" s="788"/>
      <c r="N2" s="784" t="s">
        <v>203</v>
      </c>
      <c r="O2" s="784"/>
      <c r="P2" s="784"/>
      <c r="Q2" s="784"/>
      <c r="R2" s="784"/>
      <c r="S2" s="784"/>
      <c r="T2" s="784"/>
      <c r="U2" s="784"/>
      <c r="V2" s="396"/>
      <c r="W2" s="396"/>
    </row>
    <row r="3" spans="1:23" ht="21" customHeight="1" thickBot="1" x14ac:dyDescent="0.25">
      <c r="B3" s="785"/>
      <c r="C3" s="785"/>
      <c r="D3" s="785"/>
      <c r="E3" s="378"/>
      <c r="F3" s="789"/>
      <c r="G3" s="790"/>
      <c r="H3" s="791"/>
      <c r="N3" s="784"/>
      <c r="O3" s="784"/>
      <c r="P3" s="784"/>
      <c r="Q3" s="784"/>
      <c r="R3" s="784"/>
      <c r="S3" s="784"/>
      <c r="T3" s="784"/>
      <c r="U3" s="784"/>
      <c r="V3" s="396"/>
      <c r="W3" s="396"/>
    </row>
    <row r="4" spans="1:23" ht="13.5" thickBot="1" x14ac:dyDescent="0.25">
      <c r="E4" s="378"/>
      <c r="F4" s="378"/>
    </row>
    <row r="5" spans="1:23" ht="12.75" customHeight="1" x14ac:dyDescent="0.2">
      <c r="B5" s="785" t="s">
        <v>191</v>
      </c>
      <c r="C5" s="785"/>
      <c r="D5" s="785"/>
      <c r="E5" s="378"/>
      <c r="F5" s="792"/>
      <c r="G5" s="793"/>
      <c r="H5" s="794"/>
    </row>
    <row r="6" spans="1:23" ht="19.5" customHeight="1" thickBot="1" x14ac:dyDescent="0.25">
      <c r="B6" s="785"/>
      <c r="C6" s="785"/>
      <c r="D6" s="785"/>
      <c r="E6" s="378"/>
      <c r="F6" s="795"/>
      <c r="G6" s="796"/>
      <c r="H6" s="797"/>
    </row>
    <row r="12" spans="1:23" ht="19.5" customHeight="1" x14ac:dyDescent="0.2">
      <c r="A12" s="379"/>
      <c r="I12" s="358"/>
      <c r="J12" s="358"/>
      <c r="K12" s="359"/>
      <c r="L12" s="782" t="s">
        <v>192</v>
      </c>
      <c r="M12" s="782"/>
      <c r="N12" s="782"/>
      <c r="O12" s="382">
        <v>195</v>
      </c>
      <c r="P12" s="387" t="s">
        <v>193</v>
      </c>
      <c r="Q12" s="387"/>
      <c r="R12" s="387"/>
      <c r="S12" s="383"/>
      <c r="T12" s="382">
        <v>66</v>
      </c>
    </row>
    <row r="13" spans="1:23" ht="15.75" x14ac:dyDescent="0.2">
      <c r="A13" s="379"/>
      <c r="I13" s="358"/>
      <c r="J13" s="358"/>
      <c r="K13" s="359"/>
    </row>
    <row r="14" spans="1:23" ht="18" x14ac:dyDescent="0.25">
      <c r="A14" s="379"/>
      <c r="B14" s="380"/>
      <c r="C14" s="380"/>
      <c r="D14" s="380"/>
      <c r="E14" s="381"/>
      <c r="G14" s="360"/>
      <c r="H14" s="360"/>
      <c r="I14" s="358"/>
      <c r="J14" s="358"/>
      <c r="K14" s="359"/>
      <c r="L14" s="782" t="s">
        <v>194</v>
      </c>
      <c r="M14" s="782"/>
      <c r="O14" s="382">
        <v>18</v>
      </c>
      <c r="P14" s="798" t="s">
        <v>195</v>
      </c>
      <c r="Q14" s="798"/>
      <c r="T14" s="781" t="s">
        <v>200</v>
      </c>
      <c r="U14" s="781"/>
    </row>
    <row r="15" spans="1:23" ht="15.75" x14ac:dyDescent="0.2">
      <c r="A15" s="379"/>
      <c r="B15" s="380"/>
      <c r="C15" s="380"/>
      <c r="D15" s="380"/>
      <c r="E15" s="381"/>
      <c r="G15" s="360"/>
      <c r="H15" s="360"/>
      <c r="I15" s="358"/>
      <c r="J15" s="358"/>
      <c r="K15" s="359"/>
      <c r="L15" s="359"/>
    </row>
    <row r="16" spans="1:23" x14ac:dyDescent="0.2">
      <c r="O16" s="238" t="s">
        <v>6</v>
      </c>
    </row>
    <row r="17" spans="1:21" ht="12.75" customHeight="1" x14ac:dyDescent="0.2">
      <c r="L17" s="770" t="s">
        <v>196</v>
      </c>
      <c r="M17" s="770"/>
      <c r="N17" s="770"/>
      <c r="O17" s="770"/>
      <c r="P17" s="770"/>
      <c r="Q17" s="770"/>
      <c r="R17" s="770"/>
      <c r="S17" s="770"/>
      <c r="T17" s="770"/>
      <c r="U17" s="770"/>
    </row>
    <row r="18" spans="1:21" ht="13.5" customHeight="1" thickBot="1" x14ac:dyDescent="0.25">
      <c r="L18" s="770"/>
      <c r="M18" s="770"/>
      <c r="N18" s="770"/>
      <c r="O18" s="770"/>
      <c r="P18" s="770"/>
      <c r="Q18" s="770"/>
      <c r="R18" s="770"/>
      <c r="S18" s="770"/>
      <c r="T18" s="770"/>
      <c r="U18" s="770"/>
    </row>
    <row r="19" spans="1:21" x14ac:dyDescent="0.2">
      <c r="L19" s="762" t="s">
        <v>188</v>
      </c>
      <c r="M19" s="376"/>
      <c r="N19" s="764">
        <f>P21-L21</f>
        <v>-4</v>
      </c>
      <c r="O19" s="376"/>
      <c r="P19" s="762" t="s">
        <v>189</v>
      </c>
      <c r="R19" s="771" t="s">
        <v>81</v>
      </c>
      <c r="S19" s="772"/>
      <c r="T19" s="772" t="s">
        <v>58</v>
      </c>
      <c r="U19" s="775" t="s">
        <v>201</v>
      </c>
    </row>
    <row r="20" spans="1:21" ht="13.5" thickBot="1" x14ac:dyDescent="0.25">
      <c r="L20" s="763"/>
      <c r="M20" s="376"/>
      <c r="N20" s="765"/>
      <c r="O20" s="376"/>
      <c r="P20" s="763"/>
      <c r="R20" s="773"/>
      <c r="S20" s="774"/>
      <c r="T20" s="774"/>
      <c r="U20" s="776"/>
    </row>
    <row r="21" spans="1:21" ht="18.75" thickBot="1" x14ac:dyDescent="0.25">
      <c r="L21" s="361">
        <v>69</v>
      </c>
      <c r="M21" s="376"/>
      <c r="N21" s="766"/>
      <c r="O21" s="376"/>
      <c r="P21" s="361">
        <v>65</v>
      </c>
      <c r="R21" s="777" t="s">
        <v>56</v>
      </c>
      <c r="S21" s="778"/>
      <c r="T21" s="392">
        <v>62</v>
      </c>
      <c r="U21" s="393">
        <v>42</v>
      </c>
    </row>
    <row r="22" spans="1:21" ht="18" customHeight="1" x14ac:dyDescent="0.2">
      <c r="R22" s="779" t="s">
        <v>59</v>
      </c>
      <c r="S22" s="780"/>
      <c r="T22" s="388"/>
      <c r="U22" s="389"/>
    </row>
    <row r="23" spans="1:21" ht="22.5" customHeight="1" thickBot="1" x14ac:dyDescent="0.25">
      <c r="R23" s="768" t="s">
        <v>57</v>
      </c>
      <c r="S23" s="769"/>
      <c r="T23" s="390">
        <v>3</v>
      </c>
      <c r="U23" s="391">
        <v>2</v>
      </c>
    </row>
    <row r="24" spans="1:21" ht="30.75" customHeight="1" x14ac:dyDescent="0.2">
      <c r="A24" s="767" t="s">
        <v>198</v>
      </c>
      <c r="B24" s="767"/>
      <c r="C24" s="767"/>
      <c r="D24" s="767"/>
      <c r="E24" s="767"/>
      <c r="F24" s="767"/>
      <c r="G24" s="767"/>
      <c r="H24" s="767"/>
      <c r="I24" s="767"/>
      <c r="J24" s="767"/>
      <c r="K24" s="767"/>
      <c r="L24" s="767"/>
      <c r="M24" s="767"/>
      <c r="N24" s="767"/>
      <c r="O24" s="767"/>
      <c r="P24" s="767"/>
      <c r="Q24" s="767"/>
      <c r="R24" s="767"/>
      <c r="S24" s="767"/>
      <c r="T24" s="767"/>
      <c r="U24" s="767"/>
    </row>
    <row r="25" spans="1:21" ht="1.5" customHeight="1" thickBot="1" x14ac:dyDescent="0.25">
      <c r="B25" s="384"/>
      <c r="C25" s="384"/>
      <c r="D25" s="384"/>
    </row>
    <row r="26" spans="1:21" ht="18" x14ac:dyDescent="0.2">
      <c r="B26" s="384"/>
      <c r="C26" s="384"/>
      <c r="D26" s="384"/>
      <c r="F26" s="750" t="s">
        <v>199</v>
      </c>
      <c r="G26" s="751"/>
      <c r="H26" s="751"/>
      <c r="I26" s="751"/>
      <c r="J26" s="752"/>
      <c r="K26" s="753"/>
      <c r="Q26" s="750" t="s">
        <v>202</v>
      </c>
      <c r="R26" s="751"/>
      <c r="S26" s="751"/>
      <c r="T26" s="751"/>
      <c r="U26" s="753"/>
    </row>
    <row r="27" spans="1:21" ht="18.75" thickBot="1" x14ac:dyDescent="0.25">
      <c r="B27" s="385"/>
      <c r="C27" s="385"/>
      <c r="D27" s="385"/>
      <c r="F27" s="754"/>
      <c r="G27" s="755"/>
      <c r="H27" s="755"/>
      <c r="I27" s="755"/>
      <c r="J27" s="756"/>
      <c r="K27" s="757"/>
      <c r="Q27" s="754"/>
      <c r="R27" s="755"/>
      <c r="S27" s="755"/>
      <c r="T27" s="755"/>
      <c r="U27" s="757"/>
    </row>
    <row r="28" spans="1:21" ht="18" x14ac:dyDescent="0.2">
      <c r="B28" s="385"/>
      <c r="C28" s="385"/>
      <c r="D28" s="385"/>
      <c r="F28" s="754" t="s">
        <v>199</v>
      </c>
      <c r="G28" s="755"/>
      <c r="H28" s="755"/>
      <c r="I28" s="755"/>
      <c r="J28" s="756"/>
      <c r="K28" s="757"/>
      <c r="Q28" s="750" t="s">
        <v>199</v>
      </c>
      <c r="R28" s="751"/>
      <c r="S28" s="751"/>
      <c r="T28" s="751"/>
      <c r="U28" s="753"/>
    </row>
    <row r="29" spans="1:21" ht="18.75" thickBot="1" x14ac:dyDescent="0.25">
      <c r="B29" s="385"/>
      <c r="C29" s="385"/>
      <c r="D29" s="385"/>
      <c r="F29" s="758"/>
      <c r="G29" s="759"/>
      <c r="H29" s="759"/>
      <c r="I29" s="759"/>
      <c r="J29" s="760"/>
      <c r="K29" s="761"/>
      <c r="Q29" s="758"/>
      <c r="R29" s="759"/>
      <c r="S29" s="759"/>
      <c r="T29" s="759"/>
      <c r="U29" s="761"/>
    </row>
    <row r="30" spans="1:21" ht="21" customHeight="1" x14ac:dyDescent="0.2">
      <c r="B30" s="385"/>
      <c r="C30" s="385"/>
      <c r="D30" s="385"/>
      <c r="F30" s="394"/>
      <c r="G30" s="394"/>
      <c r="H30" s="394"/>
      <c r="I30" s="394"/>
      <c r="J30" s="394"/>
      <c r="K30" s="394"/>
    </row>
    <row r="31" spans="1:21" ht="13.5" customHeight="1" x14ac:dyDescent="0.2">
      <c r="F31" s="394"/>
      <c r="G31" s="394"/>
      <c r="H31" s="394"/>
      <c r="I31" s="394"/>
      <c r="J31" s="394"/>
      <c r="K31" s="394"/>
    </row>
    <row r="32" spans="1:21" ht="13.35" customHeight="1" x14ac:dyDescent="0.2">
      <c r="F32" s="395"/>
      <c r="G32" s="395"/>
      <c r="H32" s="395"/>
      <c r="I32" s="395"/>
      <c r="J32" s="395"/>
      <c r="K32" s="395"/>
      <c r="P32" s="238" t="s">
        <v>6</v>
      </c>
    </row>
    <row r="33" spans="6:11" ht="13.35" customHeight="1" x14ac:dyDescent="0.2">
      <c r="F33" s="395"/>
      <c r="G33" s="395"/>
      <c r="H33" s="395"/>
      <c r="I33" s="395"/>
      <c r="J33" s="395"/>
      <c r="K33" s="395"/>
    </row>
    <row r="34" spans="6:11" ht="13.35" customHeight="1" x14ac:dyDescent="0.2">
      <c r="F34" s="395"/>
      <c r="G34" s="395"/>
      <c r="H34" s="395"/>
      <c r="I34" s="395"/>
      <c r="J34" s="395"/>
      <c r="K34" s="395"/>
    </row>
    <row r="35" spans="6:11" ht="13.35" customHeight="1" x14ac:dyDescent="0.2">
      <c r="F35" s="395"/>
      <c r="G35" s="395"/>
      <c r="H35" s="395"/>
      <c r="I35" s="395"/>
      <c r="J35" s="395"/>
      <c r="K35" s="395"/>
    </row>
    <row r="36" spans="6:11" ht="13.35" customHeight="1" x14ac:dyDescent="0.2">
      <c r="F36" s="386"/>
      <c r="G36" s="386"/>
      <c r="H36" s="386" t="s">
        <v>6</v>
      </c>
      <c r="I36" s="386"/>
      <c r="J36" s="386"/>
      <c r="K36" s="386"/>
    </row>
    <row r="37" spans="6:11" ht="14.1" customHeight="1" x14ac:dyDescent="0.2">
      <c r="F37" s="386"/>
      <c r="G37" s="386"/>
      <c r="H37" s="386"/>
      <c r="I37" s="386"/>
      <c r="J37" s="386"/>
      <c r="K37" s="386"/>
    </row>
  </sheetData>
  <mergeCells count="25">
    <mergeCell ref="T14:U14"/>
    <mergeCell ref="L12:N12"/>
    <mergeCell ref="L14:M14"/>
    <mergeCell ref="A1:I1"/>
    <mergeCell ref="N2:U3"/>
    <mergeCell ref="B2:D3"/>
    <mergeCell ref="F2:H3"/>
    <mergeCell ref="B5:D6"/>
    <mergeCell ref="F5:H6"/>
    <mergeCell ref="P14:Q14"/>
    <mergeCell ref="L17:U18"/>
    <mergeCell ref="Q26:U27"/>
    <mergeCell ref="Q28:U29"/>
    <mergeCell ref="R19:S20"/>
    <mergeCell ref="T19:T20"/>
    <mergeCell ref="U19:U20"/>
    <mergeCell ref="R21:S21"/>
    <mergeCell ref="R22:S22"/>
    <mergeCell ref="F26:K27"/>
    <mergeCell ref="F28:K29"/>
    <mergeCell ref="L19:L20"/>
    <mergeCell ref="N19:N21"/>
    <mergeCell ref="P19:P20"/>
    <mergeCell ref="A24:U24"/>
    <mergeCell ref="R23:S23"/>
  </mergeCells>
  <conditionalFormatting sqref="N19">
    <cfRule type="iconSet" priority="1">
      <iconSet iconSet="3ArrowsGray">
        <cfvo type="percent" val="0"/>
        <cfvo type="num" val="0"/>
        <cfvo type="num" val="0.1"/>
      </iconSet>
    </cfRule>
  </conditionalFormatting>
  <pageMargins left="0.7" right="0.7" top="0.75" bottom="0.75" header="0.3" footer="0.3"/>
  <pageSetup paperSize="9" orientation="portrait" r:id="rId1"/>
  <ignoredErrors>
    <ignoredError sqref="T14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Night Capacity Report</vt:lpstr>
      <vt:lpstr>Safety Huddle</vt:lpstr>
      <vt:lpstr>Sitrep 0830</vt:lpstr>
      <vt:lpstr>Sitrep 1300</vt:lpstr>
      <vt:lpstr>Sitrep 1700</vt:lpstr>
      <vt:lpstr>Sitrep 1900</vt:lpstr>
      <vt:lpstr>Rag Status</vt:lpstr>
      <vt:lpstr>Activity Summary</vt:lpstr>
      <vt:lpstr>'Safety Huddle'!Print_Area</vt:lpstr>
      <vt:lpstr>'Sitrep 0830'!Print_Area</vt:lpstr>
      <vt:lpstr>'Sitrep 1900'!Print_Area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Larry Li</cp:lastModifiedBy>
  <cp:lastPrinted>2019-01-16T10:09:59Z</cp:lastPrinted>
  <dcterms:created xsi:type="dcterms:W3CDTF">2012-12-07T14:30:54Z</dcterms:created>
  <dcterms:modified xsi:type="dcterms:W3CDTF">2020-04-24T21:39:34Z</dcterms:modified>
</cp:coreProperties>
</file>