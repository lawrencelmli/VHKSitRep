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45" windowWidth="11340" windowHeight="8040" activeTab="5"/>
  </bookViews>
  <sheets>
    <sheet name="Night Capacity Report" sheetId="10" r:id="rId1"/>
    <sheet name="Safety Huddle" sheetId="12" r:id="rId2"/>
    <sheet name="Sitrep 0830" sheetId="5" r:id="rId3"/>
    <sheet name="Sitrep 1300" sheetId="14" r:id="rId4"/>
    <sheet name="Sitrep 1700" sheetId="6" r:id="rId5"/>
    <sheet name="Sitrep 1900" sheetId="15" r:id="rId6"/>
    <sheet name="Rag Status" sheetId="13" state="hidden" r:id="rId7"/>
  </sheets>
  <definedNames>
    <definedName name="_xlnm.Print_Area" localSheetId="1">'Safety Huddle'!$A$1:$O$23</definedName>
    <definedName name="_xlnm.Print_Area" localSheetId="2">'Sitrep 0830'!$A$1:$V$52</definedName>
    <definedName name="_xlnm.Print_Area" localSheetId="5">'Sitrep 1900'!$A$1:$O$45</definedName>
  </definedNames>
  <calcPr calcId="125725"/>
</workbook>
</file>

<file path=xl/calcChain.xml><?xml version="1.0" encoding="utf-8"?>
<calcChain xmlns="http://schemas.openxmlformats.org/spreadsheetml/2006/main">
  <c r="G45" i="15"/>
  <c r="F45"/>
  <c r="E45"/>
  <c r="D45"/>
  <c r="B45"/>
  <c r="H44"/>
  <c r="H43"/>
  <c r="G41"/>
  <c r="F41"/>
  <c r="E41"/>
  <c r="D41"/>
  <c r="B41"/>
  <c r="H40"/>
  <c r="H39"/>
  <c r="H38"/>
  <c r="H37"/>
  <c r="H36"/>
  <c r="H35"/>
  <c r="H34"/>
  <c r="G32"/>
  <c r="F32"/>
  <c r="F12" s="1"/>
  <c r="E32"/>
  <c r="D32"/>
  <c r="F11" s="1"/>
  <c r="B32"/>
  <c r="H31"/>
  <c r="H30"/>
  <c r="O29"/>
  <c r="H29"/>
  <c r="O28"/>
  <c r="H28"/>
  <c r="O27"/>
  <c r="H27"/>
  <c r="O26"/>
  <c r="H26"/>
  <c r="O25"/>
  <c r="H25"/>
  <c r="H24"/>
  <c r="H23"/>
  <c r="H22"/>
  <c r="H21"/>
  <c r="H20"/>
  <c r="H19"/>
  <c r="H18"/>
  <c r="K12"/>
  <c r="K11"/>
  <c r="O9"/>
  <c r="K7"/>
  <c r="F7"/>
  <c r="G46" i="14"/>
  <c r="F46"/>
  <c r="E46"/>
  <c r="D46"/>
  <c r="B46"/>
  <c r="H45"/>
  <c r="H44"/>
  <c r="G42"/>
  <c r="F42"/>
  <c r="E42"/>
  <c r="D42"/>
  <c r="B42"/>
  <c r="H40"/>
  <c r="H39"/>
  <c r="H38"/>
  <c r="H37"/>
  <c r="H36"/>
  <c r="H35"/>
  <c r="H34"/>
  <c r="G32"/>
  <c r="F32"/>
  <c r="F12" s="1"/>
  <c r="E32"/>
  <c r="D32"/>
  <c r="F11" s="1"/>
  <c r="B32"/>
  <c r="H31"/>
  <c r="H30"/>
  <c r="O29"/>
  <c r="H29"/>
  <c r="O28"/>
  <c r="H28"/>
  <c r="O27"/>
  <c r="H27"/>
  <c r="O26"/>
  <c r="H26"/>
  <c r="O25"/>
  <c r="H25"/>
  <c r="H24"/>
  <c r="H23"/>
  <c r="H22"/>
  <c r="H21"/>
  <c r="H20"/>
  <c r="H19"/>
  <c r="H18"/>
  <c r="K12"/>
  <c r="K11"/>
  <c r="O9"/>
  <c r="K7"/>
  <c r="F7"/>
  <c r="F16" i="13"/>
  <c r="S25" i="5"/>
  <c r="H45"/>
  <c r="H44"/>
  <c r="H35"/>
  <c r="H36"/>
  <c r="H37"/>
  <c r="H38"/>
  <c r="H39"/>
  <c r="H40"/>
  <c r="H34"/>
  <c r="H19"/>
  <c r="H20"/>
  <c r="H21"/>
  <c r="H22"/>
  <c r="H23"/>
  <c r="H24"/>
  <c r="H25"/>
  <c r="H26"/>
  <c r="H27"/>
  <c r="H28"/>
  <c r="H29"/>
  <c r="H30"/>
  <c r="H31"/>
  <c r="H18"/>
  <c r="D21" i="13"/>
  <c r="D26"/>
  <c r="E1"/>
  <c r="C1"/>
  <c r="E16"/>
  <c r="D15"/>
  <c r="F10"/>
  <c r="F9"/>
  <c r="F8"/>
  <c r="F7"/>
  <c r="G32" i="5"/>
  <c r="F32"/>
  <c r="E32"/>
  <c r="D32"/>
  <c r="E42"/>
  <c r="H45" i="15" l="1"/>
  <c r="H41"/>
  <c r="O12"/>
  <c r="H32"/>
  <c r="H46" i="14"/>
  <c r="H42"/>
  <c r="O12"/>
  <c r="H32"/>
  <c r="O7" i="15"/>
  <c r="O7" i="14"/>
  <c r="O11" i="15"/>
  <c r="O11" i="14"/>
  <c r="C14" i="13"/>
  <c r="I7" i="12" l="1"/>
  <c r="F6" i="13" s="1"/>
  <c r="H20" i="6" l="1"/>
  <c r="H21"/>
  <c r="H22"/>
  <c r="H23"/>
  <c r="H24"/>
  <c r="H25"/>
  <c r="H26"/>
  <c r="H27"/>
  <c r="H28"/>
  <c r="H29"/>
  <c r="H30"/>
  <c r="H31"/>
  <c r="B32"/>
  <c r="B32" i="5"/>
  <c r="I3" i="12" l="1"/>
  <c r="H32" i="5"/>
  <c r="J12" l="1"/>
  <c r="K12" i="6"/>
  <c r="D42"/>
  <c r="E42"/>
  <c r="G42" i="5"/>
  <c r="F42"/>
  <c r="D42"/>
  <c r="K11" i="6"/>
  <c r="J11" i="5"/>
  <c r="J6"/>
  <c r="M9" i="12"/>
  <c r="I2"/>
  <c r="M8"/>
  <c r="B42" i="6"/>
  <c r="B42" i="5"/>
  <c r="H37" i="6"/>
  <c r="H45"/>
  <c r="H44"/>
  <c r="H35"/>
  <c r="H36"/>
  <c r="H38"/>
  <c r="H39"/>
  <c r="H40"/>
  <c r="H34"/>
  <c r="H19"/>
  <c r="H18"/>
  <c r="O26"/>
  <c r="O27"/>
  <c r="O28"/>
  <c r="O29"/>
  <c r="O25"/>
  <c r="K7"/>
  <c r="F7"/>
  <c r="C22" i="10"/>
  <c r="F46" i="5"/>
  <c r="E12"/>
  <c r="K46"/>
  <c r="J46"/>
  <c r="K42"/>
  <c r="J42"/>
  <c r="K32"/>
  <c r="J32"/>
  <c r="S26"/>
  <c r="S27"/>
  <c r="S28"/>
  <c r="S29"/>
  <c r="P9"/>
  <c r="P7"/>
  <c r="E20" i="13" s="1"/>
  <c r="C35" i="10"/>
  <c r="C31"/>
  <c r="G46" i="6"/>
  <c r="F46"/>
  <c r="E46"/>
  <c r="D46"/>
  <c r="B46"/>
  <c r="G42"/>
  <c r="F42"/>
  <c r="G32"/>
  <c r="F32"/>
  <c r="E32"/>
  <c r="D32"/>
  <c r="F11" s="1"/>
  <c r="O9"/>
  <c r="K6" l="1"/>
  <c r="K8" s="1"/>
  <c r="K10" s="1"/>
  <c r="K13" s="1"/>
  <c r="K6" i="15"/>
  <c r="K8" s="1"/>
  <c r="K10" s="1"/>
  <c r="K13" s="1"/>
  <c r="K6" i="14"/>
  <c r="K8" s="1"/>
  <c r="K10" s="1"/>
  <c r="K13" s="1"/>
  <c r="H32" i="6"/>
  <c r="J56" i="5"/>
  <c r="F56"/>
  <c r="H42"/>
  <c r="K56"/>
  <c r="M10" i="12"/>
  <c r="C42" i="5"/>
  <c r="J8"/>
  <c r="J10" s="1"/>
  <c r="J13" s="1"/>
  <c r="C46"/>
  <c r="C32"/>
  <c r="O7" i="6"/>
  <c r="F12"/>
  <c r="O12" s="1"/>
  <c r="H46"/>
  <c r="H42"/>
  <c r="O11"/>
  <c r="G46" i="5"/>
  <c r="H46"/>
  <c r="I46"/>
  <c r="I42"/>
  <c r="I32"/>
  <c r="B46"/>
  <c r="E14" i="13" s="1"/>
  <c r="E46" i="5"/>
  <c r="E56" s="1"/>
  <c r="D46"/>
  <c r="D16" i="13" s="1"/>
  <c r="D14" l="1"/>
  <c r="F14"/>
  <c r="E6" i="5"/>
  <c r="E11"/>
  <c r="H56"/>
  <c r="I56"/>
  <c r="D56"/>
  <c r="G56"/>
  <c r="P12"/>
  <c r="F20" i="13" s="1"/>
  <c r="F21" s="1"/>
  <c r="F6" i="6" l="1"/>
  <c r="O6" s="1"/>
  <c r="F6" i="14"/>
  <c r="F6" i="15"/>
  <c r="E8" i="5"/>
  <c r="P8" s="1"/>
  <c r="P6"/>
  <c r="P11"/>
  <c r="F8" i="6" l="1"/>
  <c r="F10" s="1"/>
  <c r="F8" i="15"/>
  <c r="O6"/>
  <c r="F8" i="14"/>
  <c r="O6"/>
  <c r="E10" i="5"/>
  <c r="E13" s="1"/>
  <c r="P13" s="1"/>
  <c r="O8" i="6" l="1"/>
  <c r="F10" i="15"/>
  <c r="O8"/>
  <c r="O8" i="14"/>
  <c r="F10"/>
  <c r="P10" i="5"/>
  <c r="F13" i="6"/>
  <c r="O13" s="1"/>
  <c r="O10"/>
  <c r="O10" i="14" l="1"/>
  <c r="F13"/>
  <c r="O13" s="1"/>
  <c r="F13" i="15"/>
  <c r="O13" s="1"/>
  <c r="O10"/>
</calcChain>
</file>

<file path=xl/sharedStrings.xml><?xml version="1.0" encoding="utf-8"?>
<sst xmlns="http://schemas.openxmlformats.org/spreadsheetml/2006/main" count="584" uniqueCount="208">
  <si>
    <t xml:space="preserve">Date:                           </t>
  </si>
  <si>
    <t>Day of the week:</t>
  </si>
  <si>
    <t>Time:</t>
  </si>
  <si>
    <t>Remaining Today:</t>
  </si>
  <si>
    <t>Admissions So Far:</t>
  </si>
  <si>
    <t>EMERGENCY CARE</t>
  </si>
  <si>
    <t xml:space="preserve"> </t>
  </si>
  <si>
    <t>PLANNED CARE</t>
  </si>
  <si>
    <t>Beds available now:</t>
  </si>
  <si>
    <t>Ward</t>
  </si>
  <si>
    <t>AU1</t>
  </si>
  <si>
    <t>AU2</t>
  </si>
  <si>
    <t>Predicted Balance:</t>
  </si>
  <si>
    <t>TOTALS</t>
  </si>
  <si>
    <t>Predicted Total Admissions:</t>
  </si>
  <si>
    <t>Agreed Additional Capacity</t>
  </si>
  <si>
    <t>ENT</t>
  </si>
  <si>
    <t>Electives:</t>
  </si>
  <si>
    <t>Predicted Emergency Admissions:</t>
  </si>
  <si>
    <t>Total:</t>
  </si>
  <si>
    <t>Definite Discharges</t>
  </si>
  <si>
    <t>21/23</t>
  </si>
  <si>
    <t>Totals</t>
  </si>
  <si>
    <t>Discharges before 12pm</t>
  </si>
  <si>
    <t>End of day position</t>
  </si>
  <si>
    <t>Chair</t>
  </si>
  <si>
    <t>Definite &amp; Expected Discharges:</t>
  </si>
  <si>
    <t>RHDU (3)</t>
  </si>
  <si>
    <t>CCU (8)</t>
  </si>
  <si>
    <t>MHDU (8)</t>
  </si>
  <si>
    <t>SHDU (8)</t>
  </si>
  <si>
    <t>Empty Beds Now</t>
  </si>
  <si>
    <t>FLOW</t>
  </si>
  <si>
    <t>Number of Additional Beds in use</t>
  </si>
  <si>
    <t>Planned Admissions today</t>
  </si>
  <si>
    <t>Discharges</t>
  </si>
  <si>
    <t>Critical Care</t>
  </si>
  <si>
    <t>Total number in department</t>
  </si>
  <si>
    <t>Longest Wait</t>
  </si>
  <si>
    <t>Longest time to 1st assessment</t>
  </si>
  <si>
    <t>Number of patients with DTA</t>
  </si>
  <si>
    <t>Number of patients breached since midnight</t>
  </si>
  <si>
    <t>VICTORIA HOSPITAL SAFETY HUDDLE - FLOW</t>
  </si>
  <si>
    <t>A&amp;E</t>
  </si>
  <si>
    <t>Number of ward fit patients</t>
  </si>
  <si>
    <t>Are you safe to start</t>
  </si>
  <si>
    <r>
      <t xml:space="preserve">Number of patients </t>
    </r>
    <r>
      <rPr>
        <b/>
        <sz val="9"/>
        <color rgb="FFFF0000"/>
        <rFont val="Arial"/>
        <family val="2"/>
      </rPr>
      <t>&gt; 3 hours</t>
    </r>
  </si>
  <si>
    <t>Access Quotas</t>
  </si>
  <si>
    <t>Victoria Hospital Night Report</t>
  </si>
  <si>
    <t>Wards</t>
  </si>
  <si>
    <t>Date:</t>
  </si>
  <si>
    <t>Prepared By:</t>
  </si>
  <si>
    <t>Senior Manager:</t>
  </si>
  <si>
    <t>Bed Compliment</t>
  </si>
  <si>
    <t>Empty Beds    Now</t>
  </si>
  <si>
    <t>Additional Beds in use</t>
  </si>
  <si>
    <t>Medical</t>
  </si>
  <si>
    <t>Ortho</t>
  </si>
  <si>
    <t>Total</t>
  </si>
  <si>
    <t>Surgical</t>
  </si>
  <si>
    <t>Calls made after 8pm to On Call Manager</t>
  </si>
  <si>
    <t>Escalation</t>
  </si>
  <si>
    <t>Number of patients in EMOU (6)</t>
  </si>
  <si>
    <t>Discharges achieved before 1pm</t>
  </si>
  <si>
    <t>Capacity</t>
  </si>
  <si>
    <t>Staffing</t>
  </si>
  <si>
    <t xml:space="preserve">Incident </t>
  </si>
  <si>
    <t xml:space="preserve">Planned admissions still to accomodate </t>
  </si>
  <si>
    <t>Discharges achieved before 5pm</t>
  </si>
  <si>
    <t>ADDITIONAL CAPACITY</t>
  </si>
  <si>
    <t>Electives still to be accomodated (GP's on board AU1 &amp; AU2))</t>
  </si>
  <si>
    <t>SEAL</t>
  </si>
  <si>
    <t>CLU</t>
  </si>
  <si>
    <t>OBSERVATION</t>
  </si>
  <si>
    <t>MLU</t>
  </si>
  <si>
    <t>MATERNITY WARD</t>
  </si>
  <si>
    <t>CHILDRENS WARD</t>
  </si>
  <si>
    <t>NEONATAL UNIT</t>
  </si>
  <si>
    <t>RN Shortfall</t>
  </si>
  <si>
    <t>nRN Shortfall</t>
  </si>
  <si>
    <t>Number of patients boarding in your ward</t>
  </si>
  <si>
    <t>Speciality</t>
  </si>
  <si>
    <t>Number &gt; 5 days</t>
  </si>
  <si>
    <t>Number of new patients boarded yesterday</t>
  </si>
  <si>
    <t>ITU (9)</t>
  </si>
  <si>
    <t>/</t>
  </si>
  <si>
    <t>Site Position</t>
  </si>
  <si>
    <t>Capacity Activity</t>
  </si>
  <si>
    <t>Total presentations to ED:</t>
  </si>
  <si>
    <t>Breaches &amp; Performance:</t>
  </si>
  <si>
    <t>Discharges achieved EC:</t>
  </si>
  <si>
    <t>Discharges achieved PC:</t>
  </si>
  <si>
    <t>Admissions against predicted EC:</t>
  </si>
  <si>
    <t>Admissions against predicted PC:</t>
  </si>
  <si>
    <t>Before 1pm</t>
  </si>
  <si>
    <t>Occupancy</t>
  </si>
  <si>
    <t>Total presentations to AA Ax U:</t>
  </si>
  <si>
    <t>Total discharges from AA Ax:</t>
  </si>
  <si>
    <t>Transfer profile from AU1:</t>
  </si>
  <si>
    <t>08:00 - 13:00</t>
  </si>
  <si>
    <t>After 8pm</t>
  </si>
  <si>
    <t>13:00 - 20:00</t>
  </si>
  <si>
    <t>Hospital at Night</t>
  </si>
  <si>
    <t>Patients who require early review:</t>
  </si>
  <si>
    <t>Number of falls reported:</t>
  </si>
  <si>
    <t>Any expected deaths:</t>
  </si>
  <si>
    <t>Any unexpected deaths:</t>
  </si>
  <si>
    <t>Number of cardiac arrests:</t>
  </si>
  <si>
    <t xml:space="preserve">AU1 Assessment </t>
  </si>
  <si>
    <t>Patients Now</t>
  </si>
  <si>
    <t>Bed Required</t>
  </si>
  <si>
    <t>Ongoing Assessment</t>
  </si>
  <si>
    <t>Expected Discharges</t>
  </si>
  <si>
    <t>Yes</t>
  </si>
  <si>
    <t>Total patients:</t>
  </si>
  <si>
    <t>Patients with delirium who require review:</t>
  </si>
  <si>
    <t>Speciality Bed Waits</t>
  </si>
  <si>
    <r>
      <rPr>
        <b/>
        <sz val="9"/>
        <rFont val="Arial"/>
        <family val="2"/>
      </rPr>
      <t>Empty Beds Now</t>
    </r>
    <r>
      <rPr>
        <sz val="9"/>
        <rFont val="Arial"/>
        <family val="2"/>
      </rPr>
      <t xml:space="preserve">                                                         (leave blank if no beds available)                 </t>
    </r>
  </si>
  <si>
    <t xml:space="preserve">AU2 Assessment </t>
  </si>
  <si>
    <t xml:space="preserve">  </t>
  </si>
  <si>
    <t>Additional Capacity in Use:</t>
  </si>
  <si>
    <t>Electivesto be accomodated (GP's on board AU1 &amp; AU2))</t>
  </si>
  <si>
    <t>Planned Activity Tomorrow</t>
  </si>
  <si>
    <t>Emergency Care</t>
  </si>
  <si>
    <t>Planned Care</t>
  </si>
  <si>
    <t>Rag Status</t>
  </si>
  <si>
    <t>Green</t>
  </si>
  <si>
    <t>EDD due today</t>
  </si>
  <si>
    <t>EDD</t>
  </si>
  <si>
    <t>Number of patients in ED and AU1au awaiting a bed</t>
  </si>
  <si>
    <t>EDD Elapsed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</si>
  <si>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</si>
  <si>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</si>
  <si>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</si>
  <si>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</si>
  <si>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</si>
  <si>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</si>
  <si>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</si>
  <si>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</si>
  <si>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</si>
  <si>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</si>
  <si>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</si>
  <si>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</si>
  <si>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</si>
  <si>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</si>
  <si>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</si>
  <si>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</si>
  <si>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</si>
  <si>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</si>
  <si>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</si>
  <si>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</si>
  <si>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</si>
  <si>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</si>
  <si>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</si>
  <si>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</si>
  <si>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</si>
  <si>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</si>
  <si>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</si>
  <si>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</si>
  <si>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</si>
  <si>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</si>
  <si>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</si>
  <si>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</si>
  <si>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</si>
  <si>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</si>
  <si>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</si>
  <si>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</si>
  <si>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</si>
  <si>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</si>
  <si>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</si>
  <si>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</si>
  <si>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</si>
  <si>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</si>
  <si>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 xml:space="preserve">Ward </t>
  </si>
  <si>
    <r>
      <t>ITU (</t>
    </r>
    <r>
      <rPr>
        <b/>
        <sz val="9"/>
        <color rgb="FF0033CC"/>
        <rFont val="Arial"/>
        <family val="2"/>
      </rPr>
      <t>9</t>
    </r>
    <r>
      <rPr>
        <sz val="9"/>
        <rFont val="Arial"/>
        <family val="2"/>
      </rPr>
      <t>)</t>
    </r>
  </si>
  <si>
    <r>
      <t>SHDU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</si>
  <si>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MHDU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</si>
  <si>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RHDU (</t>
    </r>
    <r>
      <rPr>
        <b/>
        <sz val="9"/>
        <color rgb="FF0033CC"/>
        <rFont val="Arial"/>
        <family val="2"/>
      </rPr>
      <t>3</t>
    </r>
    <r>
      <rPr>
        <sz val="9"/>
        <rFont val="Arial"/>
        <family val="2"/>
      </rPr>
      <t>)</t>
    </r>
  </si>
  <si>
    <r>
      <t>CCU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</si>
  <si>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t>Adult Bed Occupancy:</t>
  </si>
  <si>
    <t xml:space="preserve">             </t>
  </si>
  <si>
    <t>Ortho Trauma List</t>
  </si>
  <si>
    <t>SSSU</t>
  </si>
  <si>
    <t>Any other comments or seperate reported incidents and to whom:</t>
  </si>
  <si>
    <t>IOLS</t>
  </si>
  <si>
    <t>ED</t>
  </si>
  <si>
    <t xml:space="preserve">Attendances since midnight </t>
  </si>
  <si>
    <t>Attendances since midnight</t>
  </si>
  <si>
    <t>T. O'Donnell</t>
  </si>
  <si>
    <t>Chris Conroy</t>
  </si>
  <si>
    <t>WD 4</t>
  </si>
  <si>
    <t>AU1 AX</t>
  </si>
  <si>
    <t>4 hrs 55 min</t>
  </si>
  <si>
    <t>1 hr 50 min</t>
  </si>
  <si>
    <t>closed</t>
  </si>
  <si>
    <t>Sunday</t>
  </si>
  <si>
    <t>Jamie Doyle</t>
  </si>
  <si>
    <t>DIU</t>
  </si>
  <si>
    <t>1HOUR04</t>
  </si>
  <si>
    <t>5HOUR01</t>
  </si>
  <si>
    <t xml:space="preserve">Closed </t>
  </si>
  <si>
    <t>SUNDAY</t>
  </si>
  <si>
    <t>JAMIE DOYLE</t>
  </si>
  <si>
    <t>4hour46</t>
  </si>
  <si>
    <t>1hour56</t>
  </si>
  <si>
    <t>Closed</t>
  </si>
  <si>
    <t>5hour09</t>
  </si>
  <si>
    <t>1hour29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</si>
</sst>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[$-809]dd\ mmmm\ yyyy;@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8"/>
      <color rgb="FFFF0000"/>
      <name val="Arial"/>
      <family val="2"/>
    </font>
    <font>
      <sz val="8"/>
      <color rgb="FF0033CC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0033CC"/>
      <name val="Arial"/>
      <family val="2"/>
    </font>
    <font>
      <b/>
      <sz val="12"/>
      <color rgb="FF7030A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9"/>
      <color rgb="FF0033CC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FF0000"/>
      <name val="Arial"/>
      <family val="2"/>
    </font>
    <font>
      <sz val="9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C090"/>
        <bgColor rgb="FF000000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6" fillId="28" borderId="67" applyNumberFormat="0" applyAlignment="0" applyProtection="0"/>
    <xf numFmtId="0" fontId="1" fillId="0" borderId="0"/>
  </cellStyleXfs>
  <cellXfs count="718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/>
    <xf numFmtId="0" fontId="2" fillId="13" borderId="24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2" fillId="0" borderId="46" xfId="0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20" borderId="1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0" fontId="17" fillId="0" borderId="0" xfId="0" applyFont="1" applyAlignment="1"/>
    <xf numFmtId="0" fontId="17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9" xfId="0" applyFont="1" applyBorder="1"/>
    <xf numFmtId="0" fontId="17" fillId="0" borderId="27" xfId="0" applyFont="1" applyBorder="1"/>
    <xf numFmtId="0" fontId="17" fillId="0" borderId="1" xfId="0" applyFont="1" applyBorder="1" applyAlignment="1" applyProtection="1">
      <alignment horizontal="center" vertical="center"/>
    </xf>
    <xf numFmtId="0" fontId="17" fillId="0" borderId="16" xfId="0" applyFont="1" applyBorder="1"/>
    <xf numFmtId="0" fontId="21" fillId="0" borderId="0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</xf>
    <xf numFmtId="0" fontId="17" fillId="0" borderId="34" xfId="0" applyFont="1" applyBorder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 vertical="center"/>
    </xf>
    <xf numFmtId="0" fontId="17" fillId="0" borderId="0" xfId="0" applyFont="1" applyBorder="1" applyProtection="1"/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2" fillId="0" borderId="4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 wrapText="1"/>
    </xf>
    <xf numFmtId="0" fontId="2" fillId="20" borderId="53" xfId="0" applyFont="1" applyFill="1" applyBorder="1" applyAlignment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4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20" borderId="14" xfId="0" applyFont="1" applyFill="1" applyBorder="1" applyAlignment="1" applyProtection="1">
      <alignment horizontal="center" vertical="center"/>
    </xf>
    <xf numFmtId="0" fontId="2" fillId="20" borderId="1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20" borderId="47" xfId="0" applyFont="1" applyFill="1" applyBorder="1" applyAlignment="1" applyProtection="1">
      <alignment horizontal="center" vertical="center"/>
    </xf>
    <xf numFmtId="0" fontId="2" fillId="20" borderId="1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6" fillId="19" borderId="1" xfId="0" applyFont="1" applyFill="1" applyBorder="1" applyAlignment="1" applyProtection="1">
      <alignment horizontal="center" vertical="center"/>
      <protection locked="0"/>
    </xf>
    <xf numFmtId="0" fontId="6" fillId="19" borderId="14" xfId="0" applyFont="1" applyFill="1" applyBorder="1" applyAlignment="1" applyProtection="1">
      <alignment horizontal="center" vertical="center"/>
      <protection locked="0"/>
    </xf>
    <xf numFmtId="0" fontId="6" fillId="19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9" fillId="0" borderId="47" xfId="0" applyFont="1" applyFill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49" xfId="0" applyFont="1" applyFill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6" fillId="19" borderId="47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3" fillId="27" borderId="24" xfId="0" applyFont="1" applyFill="1" applyBorder="1" applyAlignment="1">
      <alignment horizontal="center" vertical="center" wrapText="1"/>
    </xf>
    <xf numFmtId="0" fontId="3" fillId="27" borderId="6" xfId="0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6" xfId="0" applyFont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9" xfId="0" applyFont="1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 wrapText="1"/>
    </xf>
    <xf numFmtId="0" fontId="15" fillId="17" borderId="6" xfId="0" applyFont="1" applyFill="1" applyBorder="1" applyAlignment="1">
      <alignment horizontal="left" vertical="center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36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35" xfId="0" applyFont="1" applyFill="1" applyBorder="1" applyAlignment="1" applyProtection="1">
      <alignment horizontal="center" vertical="center"/>
      <protection locked="0"/>
    </xf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3" fillId="20" borderId="10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20" borderId="30" xfId="0" applyFont="1" applyFill="1" applyBorder="1" applyAlignment="1">
      <alignment horizontal="center" vertical="center"/>
    </xf>
    <xf numFmtId="0" fontId="2" fillId="21" borderId="47" xfId="0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 applyProtection="1">
      <alignment horizontal="center" vertical="center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3" fillId="9" borderId="44" xfId="0" applyFont="1" applyFill="1" applyBorder="1" applyAlignment="1" applyProtection="1">
      <alignment horizontal="center" vertical="center"/>
      <protection locked="0"/>
    </xf>
    <xf numFmtId="0" fontId="2" fillId="9" borderId="44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14" xfId="0" applyFont="1" applyFill="1" applyBorder="1" applyAlignment="1" applyProtection="1">
      <alignment horizontal="center" vertical="center"/>
      <protection locked="0"/>
    </xf>
    <xf numFmtId="0" fontId="3" fillId="15" borderId="5" xfId="0" applyFont="1" applyFill="1" applyBorder="1" applyAlignment="1" applyProtection="1">
      <alignment horizontal="center" vertical="center"/>
      <protection locked="0"/>
    </xf>
    <xf numFmtId="0" fontId="3" fillId="15" borderId="1" xfId="0" applyFont="1" applyFill="1" applyBorder="1" applyAlignment="1" applyProtection="1">
      <alignment horizontal="center" vertical="center"/>
      <protection locked="0"/>
    </xf>
    <xf numFmtId="0" fontId="3" fillId="15" borderId="47" xfId="0" applyFont="1" applyFill="1" applyBorder="1" applyAlignment="1" applyProtection="1">
      <alignment horizontal="center" vertical="center"/>
      <protection locked="0"/>
    </xf>
    <xf numFmtId="0" fontId="3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5" borderId="7" xfId="0" applyFont="1" applyFill="1" applyBorder="1" applyAlignment="1" applyProtection="1">
      <alignment horizontal="center" vertical="center"/>
      <protection locked="0"/>
    </xf>
    <xf numFmtId="0" fontId="2" fillId="15" borderId="15" xfId="0" applyFont="1" applyFill="1" applyBorder="1" applyAlignment="1" applyProtection="1">
      <alignment horizontal="center" vertical="center"/>
      <protection locked="0"/>
    </xf>
    <xf numFmtId="0" fontId="2" fillId="8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20" fontId="2" fillId="0" borderId="6" xfId="0" applyNumberFormat="1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left" vertical="center"/>
      <protection locked="0"/>
    </xf>
    <xf numFmtId="20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9" fillId="16" borderId="16" xfId="0" applyFont="1" applyFill="1" applyBorder="1" applyAlignment="1">
      <alignment horizontal="center" vertical="center"/>
    </xf>
    <xf numFmtId="0" fontId="9" fillId="16" borderId="23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9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3" fillId="15" borderId="23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5" borderId="40" xfId="0" applyFont="1" applyFill="1" applyBorder="1" applyAlignment="1">
      <alignment horizontal="center" vertical="center" wrapText="1"/>
    </xf>
    <xf numFmtId="0" fontId="3" fillId="15" borderId="39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left" vertical="top" wrapText="1"/>
      <protection locked="0"/>
    </xf>
    <xf numFmtId="0" fontId="2" fillId="0" borderId="16" xfId="0" applyFont="1" applyFill="1" applyBorder="1" applyAlignment="1" applyProtection="1">
      <alignment horizontal="left" vertical="top" wrapText="1"/>
      <protection locked="0"/>
    </xf>
    <xf numFmtId="0" fontId="2" fillId="0" borderId="23" xfId="0" applyFont="1" applyFill="1" applyBorder="1" applyAlignment="1" applyProtection="1">
      <alignment horizontal="left" vertical="top" wrapText="1"/>
      <protection locked="0"/>
    </xf>
    <xf numFmtId="0" fontId="2" fillId="0" borderId="27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Fill="1" applyBorder="1" applyAlignment="1" applyProtection="1">
      <alignment horizontal="left" vertical="top" wrapText="1"/>
      <protection locked="0"/>
    </xf>
    <xf numFmtId="0" fontId="2" fillId="0" borderId="38" xfId="0" applyFont="1" applyFill="1" applyBorder="1" applyAlignment="1" applyProtection="1">
      <alignment horizontal="left" vertical="top" wrapText="1"/>
      <protection locked="0"/>
    </xf>
    <xf numFmtId="0" fontId="2" fillId="0" borderId="40" xfId="0" applyFont="1" applyFill="1" applyBorder="1" applyAlignment="1" applyProtection="1">
      <alignment horizontal="left" vertical="top" wrapText="1"/>
      <protection locked="0"/>
    </xf>
    <xf numFmtId="0" fontId="2" fillId="0" borderId="39" xfId="0" applyFont="1" applyFill="1" applyBorder="1" applyAlignment="1" applyProtection="1">
      <alignment horizontal="left" vertical="top" wrapText="1"/>
      <protection locked="0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8" fillId="0" borderId="18" xfId="0" applyFont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 vertical="center"/>
      <protection locked="0"/>
    </xf>
    <xf numFmtId="0" fontId="0" fillId="0" borderId="17" xfId="0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9" fillId="0" borderId="1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0" fillId="0" borderId="18" xfId="0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14" fillId="0" borderId="1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14" borderId="19" xfId="0" applyFont="1" applyFill="1" applyBorder="1" applyAlignment="1">
      <alignment horizontal="left" vertical="center"/>
    </xf>
    <xf numFmtId="0" fontId="0" fillId="14" borderId="23" xfId="0" applyFill="1" applyBorder="1" applyAlignment="1">
      <alignment horizontal="left" vertical="center"/>
    </xf>
    <xf numFmtId="0" fontId="0" fillId="14" borderId="38" xfId="0" applyFill="1" applyBorder="1" applyAlignment="1">
      <alignment horizontal="left" vertical="center"/>
    </xf>
    <xf numFmtId="0" fontId="0" fillId="14" borderId="39" xfId="0" applyFill="1" applyBorder="1" applyAlignment="1">
      <alignment horizontal="left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2" fillId="6" borderId="19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0" fontId="9" fillId="14" borderId="23" xfId="0" applyFont="1" applyFill="1" applyBorder="1" applyAlignment="1">
      <alignment horizontal="left" vertical="center"/>
    </xf>
    <xf numFmtId="0" fontId="3" fillId="14" borderId="38" xfId="0" applyFont="1" applyFill="1" applyBorder="1" applyAlignment="1">
      <alignment horizontal="left" vertical="center"/>
    </xf>
    <xf numFmtId="0" fontId="9" fillId="14" borderId="39" xfId="0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3" fillId="14" borderId="18" xfId="0" applyFont="1" applyFill="1" applyBorder="1" applyAlignment="1">
      <alignment horizontal="left" vertical="center"/>
    </xf>
    <xf numFmtId="0" fontId="3" fillId="14" borderId="8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16" borderId="19" xfId="0" applyFont="1" applyFill="1" applyBorder="1" applyAlignment="1">
      <alignment horizontal="center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30" xfId="0" applyFont="1" applyBorder="1" applyAlignment="1" applyProtection="1">
      <alignment horizontal="left" vertical="center"/>
    </xf>
    <xf numFmtId="0" fontId="17" fillId="0" borderId="27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left" vertical="center"/>
    </xf>
    <xf numFmtId="164" fontId="18" fillId="0" borderId="20" xfId="0" applyNumberFormat="1" applyFont="1" applyBorder="1" applyAlignment="1" applyProtection="1">
      <alignment horizontal="center" vertical="center"/>
    </xf>
    <xf numFmtId="164" fontId="18" fillId="0" borderId="50" xfId="0" applyNumberFormat="1" applyFont="1" applyBorder="1" applyAlignment="1" applyProtection="1">
      <alignment horizontal="center" vertical="center"/>
    </xf>
    <xf numFmtId="0" fontId="17" fillId="25" borderId="19" xfId="0" applyFont="1" applyFill="1" applyBorder="1" applyAlignment="1" applyProtection="1">
      <alignment horizontal="center"/>
    </xf>
    <xf numFmtId="0" fontId="17" fillId="25" borderId="16" xfId="0" applyFont="1" applyFill="1" applyBorder="1" applyAlignment="1" applyProtection="1">
      <alignment horizontal="center"/>
    </xf>
    <xf numFmtId="0" fontId="17" fillId="25" borderId="23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21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7" fillId="23" borderId="28" xfId="0" applyFont="1" applyFill="1" applyBorder="1" applyAlignment="1" applyProtection="1">
      <alignment horizontal="left" vertical="center"/>
    </xf>
    <xf numFmtId="0" fontId="17" fillId="23" borderId="2" xfId="0" applyFont="1" applyFill="1" applyBorder="1" applyAlignment="1" applyProtection="1">
      <alignment horizontal="left" vertical="center"/>
    </xf>
    <xf numFmtId="0" fontId="17" fillId="23" borderId="22" xfId="0" applyFont="1" applyFill="1" applyBorder="1" applyAlignment="1" applyProtection="1">
      <alignment horizontal="left" vertical="center"/>
    </xf>
    <xf numFmtId="0" fontId="17" fillId="22" borderId="28" xfId="0" applyFont="1" applyFill="1" applyBorder="1" applyAlignment="1" applyProtection="1">
      <alignment horizontal="left" vertical="center"/>
    </xf>
    <xf numFmtId="0" fontId="17" fillId="22" borderId="2" xfId="0" applyFont="1" applyFill="1" applyBorder="1" applyAlignment="1" applyProtection="1">
      <alignment horizontal="left" vertical="center"/>
    </xf>
    <xf numFmtId="0" fontId="17" fillId="22" borderId="22" xfId="0" applyFont="1" applyFill="1" applyBorder="1" applyAlignment="1" applyProtection="1">
      <alignment horizontal="left" vertical="center"/>
    </xf>
    <xf numFmtId="164" fontId="19" fillId="0" borderId="20" xfId="0" applyNumberFormat="1" applyFont="1" applyBorder="1" applyAlignment="1" applyProtection="1">
      <alignment horizontal="center" vertical="center"/>
      <protection locked="0"/>
    </xf>
    <xf numFmtId="164" fontId="19" fillId="0" borderId="17" xfId="0" applyNumberFormat="1" applyFont="1" applyBorder="1" applyAlignment="1" applyProtection="1">
      <alignment horizontal="center" vertical="center"/>
      <protection locked="0"/>
    </xf>
    <xf numFmtId="0" fontId="17" fillId="4" borderId="20" xfId="0" applyFont="1" applyFill="1" applyBorder="1" applyAlignment="1" applyProtection="1">
      <alignment horizontal="center"/>
    </xf>
    <xf numFmtId="0" fontId="17" fillId="4" borderId="21" xfId="0" applyFont="1" applyFill="1" applyBorder="1" applyAlignment="1" applyProtection="1">
      <alignment horizontal="center"/>
    </xf>
    <xf numFmtId="0" fontId="17" fillId="4" borderId="17" xfId="0" applyFont="1" applyFill="1" applyBorder="1" applyAlignment="1" applyProtection="1">
      <alignment horizontal="center"/>
    </xf>
    <xf numFmtId="0" fontId="17" fillId="24" borderId="20" xfId="0" applyFont="1" applyFill="1" applyBorder="1" applyAlignment="1" applyProtection="1">
      <alignment horizontal="center" vertical="center"/>
    </xf>
    <xf numFmtId="0" fontId="17" fillId="24" borderId="21" xfId="0" applyFont="1" applyFill="1" applyBorder="1" applyAlignment="1" applyProtection="1">
      <alignment horizontal="center" vertical="center"/>
    </xf>
    <xf numFmtId="0" fontId="17" fillId="24" borderId="17" xfId="0" applyFont="1" applyFill="1" applyBorder="1" applyAlignment="1" applyProtection="1">
      <alignment horizontal="center" vertical="center"/>
    </xf>
    <xf numFmtId="0" fontId="17" fillId="0" borderId="27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38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16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17" fillId="0" borderId="29" xfId="0" applyFont="1" applyBorder="1" applyAlignment="1" applyProtection="1">
      <alignment horizontal="left" vertical="center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>
      <alignment horizontal="left" vertical="center"/>
    </xf>
    <xf numFmtId="0" fontId="17" fillId="0" borderId="48" xfId="0" applyFont="1" applyBorder="1" applyAlignment="1">
      <alignment horizontal="left" vertical="center"/>
    </xf>
    <xf numFmtId="0" fontId="17" fillId="0" borderId="12" xfId="0" applyFont="1" applyBorder="1" applyAlignment="1" applyProtection="1">
      <alignment horizontal="left" vertical="center"/>
    </xf>
    <xf numFmtId="0" fontId="17" fillId="0" borderId="1" xfId="0" applyFont="1" applyBorder="1" applyAlignment="1" applyProtection="1">
      <alignment horizontal="left" vertical="center"/>
    </xf>
    <xf numFmtId="0" fontId="17" fillId="0" borderId="28" xfId="0" applyFont="1" applyBorder="1" applyAlignment="1" applyProtection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3" fillId="12" borderId="61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3" fillId="12" borderId="60" xfId="0" applyFont="1" applyFill="1" applyBorder="1" applyAlignment="1">
      <alignment horizontal="center" vertical="center" wrapText="1"/>
    </xf>
    <xf numFmtId="0" fontId="3" fillId="12" borderId="55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3" fillId="12" borderId="58" xfId="0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3" fillId="12" borderId="44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9" fillId="0" borderId="5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9" fillId="0" borderId="59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3" fillId="19" borderId="20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51" xfId="0" applyFont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>
      <alignment horizontal="center" vertical="center"/>
    </xf>
    <xf numFmtId="0" fontId="3" fillId="26" borderId="21" xfId="0" applyFont="1" applyFill="1" applyBorder="1" applyAlignment="1">
      <alignment horizontal="center" vertical="center"/>
    </xf>
    <xf numFmtId="0" fontId="3" fillId="26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13" borderId="2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27" borderId="4" xfId="0" applyFont="1" applyFill="1" applyBorder="1" applyAlignment="1">
      <alignment horizontal="center" vertical="center" wrapText="1"/>
    </xf>
    <xf numFmtId="0" fontId="3" fillId="27" borderId="13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15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0" borderId="18" xfId="0" applyNumberFormat="1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20" fontId="3" fillId="0" borderId="18" xfId="0" applyNumberFormat="1" applyFont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20" fontId="2" fillId="0" borderId="20" xfId="0" applyNumberFormat="1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38" xfId="0" applyFont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4" borderId="21" xfId="0" applyFill="1" applyBorder="1" applyAlignment="1"/>
    <xf numFmtId="0" fontId="0" fillId="4" borderId="17" xfId="0" applyFill="1" applyBorder="1" applyAlignment="1"/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3" fillId="19" borderId="19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4" fillId="0" borderId="5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4" fillId="0" borderId="14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14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4" fillId="0" borderId="5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wrapText="1"/>
    </xf>
    <xf numFmtId="0" fontId="15" fillId="0" borderId="5" xfId="1" applyFont="1" applyFill="1" applyBorder="1" applyAlignment="1">
      <alignment horizontal="center" vertical="center" wrapText="1"/>
    </xf>
    <xf numFmtId="0" fontId="15" fillId="0" borderId="3" xfId="1" applyFont="1" applyFill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1" fillId="0" borderId="66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Check Cell" xfId="1" builtinId="23"/>
    <cellStyle name="Normal" xfId="0" builtinId="0"/>
    <cellStyle name="Normal 2" xfId="2"/>
  </cellStyles>
  <dxfs count="154"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8DB4E3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33CC"/>
      <color rgb="FF8DB4E3"/>
      <color rgb="FFFFFF66"/>
      <color rgb="FFC5D9F1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8"/>
  <sheetViews>
    <sheetView showGridLines="0" zoomScaleNormal="100" workbookViewId="0">
      <pane ySplit="7" topLeftCell="A8" activePane="bottomLeft" state="frozen"/>
      <selection pane="bottomLeft" activeCell="H30" sqref="H30"/>
    </sheetView>
  </sheetViews>
  <sheetFormatPr defaultColWidth="9.140625" defaultRowHeight="12"/>
  <cols>
    <col min="1" max="1" width="11.28515625" style="63" customWidth="1"/>
    <col min="2" max="2" width="11.140625" style="63" customWidth="1"/>
    <col min="3" max="3" width="19" style="63" customWidth="1"/>
    <col min="4" max="4" width="12.42578125" style="63" customWidth="1"/>
    <col min="5" max="5" width="13.42578125" style="63" customWidth="1"/>
    <col min="6" max="6" width="14.42578125" style="63" customWidth="1"/>
    <col min="7" max="7" width="13.5703125" style="63" customWidth="1"/>
    <col min="8" max="8" width="12.85546875" style="63" customWidth="1"/>
    <col min="9" max="9" width="13.28515625" style="63" customWidth="1"/>
    <col min="10" max="10" width="14.140625" style="63" customWidth="1"/>
    <col min="11" max="11" width="16.5703125" style="63" customWidth="1"/>
    <col min="12" max="12" width="16.85546875" style="63" customWidth="1"/>
    <col min="13" max="13" width="16" style="63" customWidth="1"/>
    <col min="14" max="14" width="10" style="63" customWidth="1"/>
    <col min="15" max="15" width="8.7109375" style="63" customWidth="1"/>
    <col min="16" max="16" width="9.140625" style="63"/>
    <col min="17" max="17" width="0" style="63" hidden="1" customWidth="1"/>
    <col min="18" max="16384" width="9.140625" style="63"/>
  </cols>
  <sheetData>
    <row r="1" spans="1:17" ht="27.75" customHeight="1" thickBot="1">
      <c r="A1" s="446" t="s">
        <v>48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13"/>
      <c r="M1" s="85"/>
      <c r="Q1" s="97" t="s">
        <v>64</v>
      </c>
    </row>
    <row r="2" spans="1:17" ht="9" customHeight="1" thickBot="1">
      <c r="D2" s="5"/>
      <c r="E2" s="5"/>
      <c r="F2" s="5"/>
      <c r="G2" s="5"/>
      <c r="H2" s="5"/>
      <c r="I2" s="5"/>
      <c r="J2" s="9"/>
      <c r="K2" s="5"/>
      <c r="L2" s="9"/>
      <c r="M2" s="72"/>
      <c r="N2" s="9"/>
      <c r="O2" s="9"/>
      <c r="P2" s="5"/>
      <c r="Q2" s="97" t="s">
        <v>65</v>
      </c>
    </row>
    <row r="3" spans="1:17" s="75" customFormat="1" ht="12.75">
      <c r="A3" s="431" t="s">
        <v>51</v>
      </c>
      <c r="B3" s="454"/>
      <c r="C3" s="457" t="s">
        <v>188</v>
      </c>
      <c r="D3" s="458"/>
      <c r="E3" s="74"/>
      <c r="F3" s="461" t="s">
        <v>50</v>
      </c>
      <c r="G3" s="429">
        <v>43877</v>
      </c>
      <c r="H3" s="74"/>
      <c r="I3" s="431" t="s">
        <v>52</v>
      </c>
      <c r="J3" s="432"/>
      <c r="K3" s="435" t="s">
        <v>189</v>
      </c>
      <c r="L3" s="436"/>
      <c r="M3" s="82"/>
      <c r="N3" s="19"/>
      <c r="O3" s="19"/>
      <c r="P3" s="74"/>
      <c r="Q3" s="97" t="s">
        <v>66</v>
      </c>
    </row>
    <row r="4" spans="1:17" s="75" customFormat="1" ht="13.5" thickBot="1">
      <c r="A4" s="455"/>
      <c r="B4" s="456"/>
      <c r="C4" s="459"/>
      <c r="D4" s="460"/>
      <c r="E4" s="74"/>
      <c r="F4" s="462"/>
      <c r="G4" s="430"/>
      <c r="H4" s="74"/>
      <c r="I4" s="433"/>
      <c r="J4" s="434"/>
      <c r="K4" s="437"/>
      <c r="L4" s="438"/>
      <c r="M4" s="82"/>
      <c r="N4" s="19"/>
      <c r="O4" s="19"/>
      <c r="P4" s="74"/>
    </row>
    <row r="5" spans="1:17" s="71" customFormat="1" ht="12.75" thickBot="1">
      <c r="D5" s="5"/>
      <c r="E5" s="5"/>
      <c r="F5" s="5"/>
      <c r="G5" s="5"/>
      <c r="H5" s="5"/>
      <c r="I5" s="5"/>
      <c r="J5" s="9"/>
      <c r="K5" s="5"/>
      <c r="L5" s="9"/>
      <c r="M5" s="72"/>
      <c r="N5" s="9"/>
      <c r="O5" s="9"/>
      <c r="P5" s="5"/>
    </row>
    <row r="6" spans="1:17" ht="13.5" customHeight="1" thickBot="1">
      <c r="A6" s="408" t="s">
        <v>49</v>
      </c>
      <c r="B6" s="409"/>
      <c r="C6" s="409"/>
      <c r="D6" s="410"/>
      <c r="E6" s="62"/>
      <c r="F6" s="408" t="s">
        <v>185</v>
      </c>
      <c r="G6" s="409"/>
      <c r="H6" s="409"/>
      <c r="I6" s="409"/>
      <c r="J6" s="409"/>
      <c r="K6" s="409"/>
      <c r="L6" s="409"/>
      <c r="M6" s="410"/>
      <c r="N6" s="18"/>
      <c r="O6" s="18"/>
      <c r="P6" s="18"/>
      <c r="Q6" s="5"/>
    </row>
    <row r="7" spans="1:17" ht="54.75" customHeight="1" thickBot="1">
      <c r="A7" s="49" t="s">
        <v>173</v>
      </c>
      <c r="B7" s="49" t="s">
        <v>53</v>
      </c>
      <c r="C7" s="439" t="s">
        <v>117</v>
      </c>
      <c r="D7" s="440"/>
      <c r="E7" s="9"/>
      <c r="F7" s="67" t="s">
        <v>37</v>
      </c>
      <c r="G7" s="67" t="s">
        <v>38</v>
      </c>
      <c r="H7" s="67" t="s">
        <v>39</v>
      </c>
      <c r="I7" s="67" t="s">
        <v>46</v>
      </c>
      <c r="J7" s="67" t="s">
        <v>40</v>
      </c>
      <c r="K7" s="67" t="s">
        <v>41</v>
      </c>
      <c r="L7" s="67" t="s">
        <v>62</v>
      </c>
      <c r="M7" s="67" t="s">
        <v>186</v>
      </c>
      <c r="N7" s="9"/>
      <c r="O7" s="4"/>
      <c r="P7" s="4"/>
    </row>
    <row r="8" spans="1:17" ht="16.5" customHeight="1">
      <c r="A8" s="286" t="s">
        <v>10</v>
      </c>
      <c r="B8" s="289">
        <v>37</v>
      </c>
      <c r="C8" s="419"/>
      <c r="D8" s="420"/>
      <c r="E8" s="9"/>
      <c r="F8" s="451">
        <v>15</v>
      </c>
      <c r="G8" s="453" t="s">
        <v>192</v>
      </c>
      <c r="H8" s="453" t="s">
        <v>193</v>
      </c>
      <c r="I8" s="425">
        <v>4</v>
      </c>
      <c r="J8" s="425">
        <v>2</v>
      </c>
      <c r="K8" s="425">
        <v>3</v>
      </c>
      <c r="L8" s="411">
        <v>6</v>
      </c>
      <c r="M8" s="411">
        <v>30</v>
      </c>
      <c r="N8" s="9"/>
      <c r="O8" s="4"/>
      <c r="P8" s="4"/>
    </row>
    <row r="9" spans="1:17" ht="16.5" customHeight="1" thickBot="1">
      <c r="A9" s="287">
        <v>13</v>
      </c>
      <c r="B9" s="290">
        <v>12</v>
      </c>
      <c r="C9" s="397"/>
      <c r="D9" s="398"/>
      <c r="E9" s="9"/>
      <c r="F9" s="452"/>
      <c r="G9" s="426"/>
      <c r="H9" s="426"/>
      <c r="I9" s="426"/>
      <c r="J9" s="426"/>
      <c r="K9" s="426"/>
      <c r="L9" s="412"/>
      <c r="M9" s="412"/>
      <c r="N9" s="9"/>
      <c r="O9" s="4"/>
      <c r="P9" s="4"/>
    </row>
    <row r="10" spans="1:17" ht="16.5" customHeight="1" thickBot="1">
      <c r="A10" s="287">
        <v>9</v>
      </c>
      <c r="B10" s="290">
        <v>7</v>
      </c>
      <c r="C10" s="397"/>
      <c r="D10" s="398"/>
      <c r="E10" s="9"/>
      <c r="F10" s="80"/>
      <c r="G10" s="61"/>
      <c r="H10" s="61"/>
      <c r="I10" s="61"/>
      <c r="J10" s="61"/>
      <c r="K10" s="81"/>
      <c r="L10" s="5"/>
      <c r="M10" s="9"/>
      <c r="N10" s="9"/>
      <c r="O10" s="4"/>
      <c r="P10" s="4"/>
    </row>
    <row r="11" spans="1:17" ht="18" customHeight="1">
      <c r="A11" s="287">
        <v>22</v>
      </c>
      <c r="B11" s="290">
        <v>20</v>
      </c>
      <c r="C11" s="397"/>
      <c r="D11" s="398"/>
      <c r="E11" s="9"/>
      <c r="F11" s="439" t="s">
        <v>36</v>
      </c>
      <c r="G11" s="441"/>
      <c r="H11" s="382" t="s">
        <v>54</v>
      </c>
      <c r="I11" s="70"/>
      <c r="J11" s="421" t="s">
        <v>81</v>
      </c>
      <c r="K11" s="423" t="s">
        <v>58</v>
      </c>
      <c r="L11" s="427" t="s">
        <v>82</v>
      </c>
      <c r="M11" s="427" t="s">
        <v>83</v>
      </c>
      <c r="N11" s="4"/>
      <c r="O11" s="4"/>
      <c r="P11" s="4"/>
    </row>
    <row r="12" spans="1:17" ht="19.5" customHeight="1" thickBot="1">
      <c r="A12" s="287">
        <v>23</v>
      </c>
      <c r="B12" s="290">
        <v>26</v>
      </c>
      <c r="C12" s="397"/>
      <c r="D12" s="398"/>
      <c r="E12" s="9"/>
      <c r="F12" s="442"/>
      <c r="G12" s="443"/>
      <c r="H12" s="381"/>
      <c r="I12" s="9"/>
      <c r="J12" s="422"/>
      <c r="K12" s="424"/>
      <c r="L12" s="428"/>
      <c r="M12" s="428"/>
    </row>
    <row r="13" spans="1:17" ht="16.5" customHeight="1" thickBot="1">
      <c r="A13" s="287">
        <v>32</v>
      </c>
      <c r="B13" s="290">
        <v>23</v>
      </c>
      <c r="C13" s="397"/>
      <c r="D13" s="398"/>
      <c r="E13" s="9"/>
      <c r="F13" s="442"/>
      <c r="G13" s="443"/>
      <c r="H13" s="381"/>
      <c r="I13" s="9"/>
      <c r="J13" s="83" t="s">
        <v>56</v>
      </c>
      <c r="K13" s="362">
        <v>86</v>
      </c>
      <c r="L13" s="120">
        <v>44</v>
      </c>
      <c r="M13" s="363">
        <v>15</v>
      </c>
    </row>
    <row r="14" spans="1:17" ht="16.5" customHeight="1">
      <c r="A14" s="287">
        <v>33</v>
      </c>
      <c r="B14" s="290">
        <v>10</v>
      </c>
      <c r="C14" s="397"/>
      <c r="D14" s="398"/>
      <c r="E14" s="9"/>
      <c r="F14" s="375" t="s">
        <v>174</v>
      </c>
      <c r="G14" s="376"/>
      <c r="H14" s="123">
        <v>3</v>
      </c>
      <c r="I14" s="9"/>
      <c r="J14" s="34" t="s">
        <v>59</v>
      </c>
      <c r="K14" s="117"/>
      <c r="L14" s="121"/>
      <c r="M14" s="361"/>
      <c r="P14" s="341" t="s">
        <v>6</v>
      </c>
    </row>
    <row r="15" spans="1:17" s="232" customFormat="1" ht="16.5" customHeight="1">
      <c r="A15" s="287">
        <v>34</v>
      </c>
      <c r="B15" s="290">
        <v>16</v>
      </c>
      <c r="C15" s="397"/>
      <c r="D15" s="398"/>
      <c r="E15" s="231"/>
      <c r="F15" s="444" t="s">
        <v>175</v>
      </c>
      <c r="G15" s="445"/>
      <c r="H15" s="238">
        <v>2</v>
      </c>
      <c r="I15" s="231"/>
      <c r="J15" s="233" t="s">
        <v>57</v>
      </c>
      <c r="K15" s="234">
        <v>1</v>
      </c>
      <c r="L15" s="235"/>
      <c r="M15" s="236"/>
    </row>
    <row r="16" spans="1:17" ht="16.5" customHeight="1" thickBot="1">
      <c r="A16" s="287">
        <v>41</v>
      </c>
      <c r="B16" s="290">
        <v>22</v>
      </c>
      <c r="C16" s="397"/>
      <c r="D16" s="398"/>
      <c r="E16" s="9"/>
      <c r="F16" s="444" t="s">
        <v>176</v>
      </c>
      <c r="G16" s="445"/>
      <c r="H16" s="124">
        <v>2</v>
      </c>
      <c r="I16" s="9"/>
      <c r="J16" s="364"/>
      <c r="K16" s="118"/>
      <c r="L16" s="122"/>
      <c r="M16" s="119"/>
    </row>
    <row r="17" spans="1:16" ht="16.5" customHeight="1" thickBot="1">
      <c r="A17" s="287">
        <v>42</v>
      </c>
      <c r="B17" s="290">
        <v>24</v>
      </c>
      <c r="C17" s="397"/>
      <c r="D17" s="398"/>
      <c r="E17" s="9"/>
      <c r="F17" s="444" t="s">
        <v>177</v>
      </c>
      <c r="G17" s="445"/>
      <c r="H17" s="124">
        <v>2</v>
      </c>
      <c r="I17" s="9"/>
      <c r="J17" s="9"/>
      <c r="K17" s="9"/>
      <c r="M17" s="9"/>
    </row>
    <row r="18" spans="1:16" ht="16.5" customHeight="1" thickBot="1">
      <c r="A18" s="287">
        <v>43</v>
      </c>
      <c r="B18" s="290">
        <v>30</v>
      </c>
      <c r="C18" s="397"/>
      <c r="D18" s="398"/>
      <c r="E18" s="9"/>
      <c r="F18" s="463" t="s">
        <v>178</v>
      </c>
      <c r="G18" s="464"/>
      <c r="H18" s="125">
        <v>0</v>
      </c>
      <c r="I18" s="9"/>
      <c r="J18" s="389" t="s">
        <v>183</v>
      </c>
      <c r="K18" s="390"/>
      <c r="L18" s="390"/>
      <c r="M18" s="391"/>
    </row>
    <row r="19" spans="1:16" ht="16.5" customHeight="1" thickBot="1">
      <c r="A19" s="287">
        <v>44</v>
      </c>
      <c r="B19" s="290">
        <v>30</v>
      </c>
      <c r="C19" s="397"/>
      <c r="D19" s="398"/>
      <c r="E19" s="9"/>
      <c r="F19" s="465"/>
      <c r="G19" s="466"/>
      <c r="H19" s="237"/>
      <c r="I19" s="9"/>
      <c r="J19" s="392"/>
      <c r="K19" s="393"/>
      <c r="L19" s="393"/>
      <c r="M19" s="394"/>
    </row>
    <row r="20" spans="1:16" ht="16.5" customHeight="1" thickBot="1">
      <c r="A20" s="287">
        <v>51</v>
      </c>
      <c r="B20" s="290">
        <v>10</v>
      </c>
      <c r="C20" s="397"/>
      <c r="D20" s="398"/>
      <c r="E20" s="9"/>
      <c r="F20" s="465"/>
      <c r="G20" s="466"/>
      <c r="H20" s="5"/>
      <c r="I20" s="9"/>
      <c r="J20" s="399"/>
      <c r="K20" s="400"/>
      <c r="L20" s="400"/>
      <c r="M20" s="401"/>
    </row>
    <row r="21" spans="1:16" ht="16.5" customHeight="1" thickBot="1">
      <c r="A21" s="288">
        <v>54</v>
      </c>
      <c r="B21" s="291">
        <v>7</v>
      </c>
      <c r="C21" s="395"/>
      <c r="D21" s="396"/>
      <c r="E21" s="9"/>
      <c r="F21" s="448" t="s">
        <v>69</v>
      </c>
      <c r="G21" s="449"/>
      <c r="H21" s="450"/>
      <c r="I21" s="9"/>
      <c r="J21" s="402"/>
      <c r="K21" s="403"/>
      <c r="L21" s="403"/>
      <c r="M21" s="404"/>
      <c r="P21" s="285" t="s">
        <v>6</v>
      </c>
    </row>
    <row r="22" spans="1:16" ht="16.5" customHeight="1" thickBot="1">
      <c r="A22" s="373" t="s">
        <v>22</v>
      </c>
      <c r="B22" s="374"/>
      <c r="C22" s="373">
        <f>SUM(C8:C20)</f>
        <v>0</v>
      </c>
      <c r="D22" s="414"/>
      <c r="E22" s="9"/>
      <c r="F22" s="382" t="s">
        <v>9</v>
      </c>
      <c r="G22" s="382" t="s">
        <v>15</v>
      </c>
      <c r="H22" s="380" t="s">
        <v>55</v>
      </c>
      <c r="I22" s="80"/>
      <c r="J22" s="402"/>
      <c r="K22" s="403"/>
      <c r="L22" s="403"/>
      <c r="M22" s="404"/>
    </row>
    <row r="23" spans="1:16" ht="20.25" customHeight="1" thickBot="1">
      <c r="A23" s="78"/>
      <c r="B23" s="5"/>
      <c r="C23" s="17"/>
      <c r="D23" s="17"/>
      <c r="E23" s="9"/>
      <c r="F23" s="383"/>
      <c r="G23" s="381"/>
      <c r="H23" s="381"/>
      <c r="I23" s="1"/>
      <c r="J23" s="405"/>
      <c r="K23" s="406"/>
      <c r="L23" s="406"/>
      <c r="M23" s="407"/>
    </row>
    <row r="24" spans="1:16" ht="16.5" customHeight="1" thickBot="1">
      <c r="A24" s="286" t="s">
        <v>11</v>
      </c>
      <c r="B24" s="289">
        <v>22</v>
      </c>
      <c r="C24" s="415">
        <v>5</v>
      </c>
      <c r="D24" s="416"/>
      <c r="E24" s="9"/>
      <c r="F24" s="305" t="s">
        <v>182</v>
      </c>
      <c r="G24" s="152">
        <v>10</v>
      </c>
      <c r="H24" s="145" t="s">
        <v>194</v>
      </c>
      <c r="I24" s="80"/>
      <c r="J24" s="80"/>
      <c r="K24" s="70"/>
      <c r="L24" s="9"/>
      <c r="M24" s="9"/>
    </row>
    <row r="25" spans="1:16" ht="16.5" customHeight="1">
      <c r="A25" s="287" t="s">
        <v>16</v>
      </c>
      <c r="B25" s="290">
        <v>10</v>
      </c>
      <c r="C25" s="417">
        <v>0</v>
      </c>
      <c r="D25" s="418"/>
      <c r="E25" s="9"/>
      <c r="F25" s="111">
        <v>13</v>
      </c>
      <c r="G25" s="221">
        <v>14</v>
      </c>
      <c r="H25" s="223">
        <v>14</v>
      </c>
      <c r="I25" s="61"/>
      <c r="J25" s="478" t="s">
        <v>2</v>
      </c>
      <c r="K25" s="377" t="s">
        <v>60</v>
      </c>
      <c r="L25" s="378"/>
      <c r="M25" s="379"/>
    </row>
    <row r="26" spans="1:16" ht="16.5" customHeight="1" thickBot="1">
      <c r="A26" s="287">
        <v>10</v>
      </c>
      <c r="B26" s="290">
        <v>16</v>
      </c>
      <c r="C26" s="417">
        <v>7</v>
      </c>
      <c r="D26" s="418"/>
      <c r="E26" s="9"/>
      <c r="F26" s="111" t="s">
        <v>190</v>
      </c>
      <c r="G26" s="221">
        <v>12</v>
      </c>
      <c r="H26" s="222">
        <v>12</v>
      </c>
      <c r="I26" s="61"/>
      <c r="J26" s="469"/>
      <c r="K26" s="469" t="s">
        <v>61</v>
      </c>
      <c r="L26" s="470"/>
      <c r="M26" s="471"/>
      <c r="N26" s="4"/>
      <c r="O26" s="4"/>
      <c r="P26" s="4"/>
    </row>
    <row r="27" spans="1:16" ht="16.5" customHeight="1">
      <c r="A27" s="287">
        <v>9</v>
      </c>
      <c r="B27" s="290">
        <v>8</v>
      </c>
      <c r="C27" s="417">
        <v>1</v>
      </c>
      <c r="D27" s="418"/>
      <c r="E27" s="9"/>
      <c r="F27" s="111" t="s">
        <v>191</v>
      </c>
      <c r="G27" s="221">
        <v>0</v>
      </c>
      <c r="H27" s="222">
        <v>6</v>
      </c>
      <c r="I27" s="61"/>
      <c r="J27" s="184"/>
      <c r="K27" s="472"/>
      <c r="L27" s="473"/>
      <c r="M27" s="474"/>
      <c r="N27" s="4"/>
      <c r="O27" s="4"/>
      <c r="P27" s="4"/>
    </row>
    <row r="28" spans="1:16" ht="16.5" customHeight="1">
      <c r="A28" s="287">
        <v>52</v>
      </c>
      <c r="B28" s="290">
        <v>24</v>
      </c>
      <c r="C28" s="417"/>
      <c r="D28" s="418"/>
      <c r="E28" s="9"/>
      <c r="F28" s="111"/>
      <c r="G28" s="221">
        <v>0</v>
      </c>
      <c r="H28" s="223"/>
      <c r="I28" s="5"/>
      <c r="J28" s="115"/>
      <c r="K28" s="475"/>
      <c r="L28" s="476"/>
      <c r="M28" s="477"/>
    </row>
    <row r="29" spans="1:16" ht="16.5" customHeight="1" thickBot="1">
      <c r="A29" s="287">
        <v>53</v>
      </c>
      <c r="B29" s="290">
        <v>24</v>
      </c>
      <c r="C29" s="417">
        <v>1</v>
      </c>
      <c r="D29" s="418"/>
      <c r="E29" s="9"/>
      <c r="F29" s="369"/>
      <c r="G29" s="368">
        <v>0</v>
      </c>
      <c r="H29" s="224"/>
      <c r="I29" s="61"/>
      <c r="J29" s="366"/>
      <c r="K29" s="467"/>
      <c r="L29" s="468"/>
      <c r="M29" s="386"/>
    </row>
    <row r="30" spans="1:16" ht="16.5" customHeight="1" thickBot="1">
      <c r="A30" s="288">
        <v>54</v>
      </c>
      <c r="B30" s="291">
        <v>17</v>
      </c>
      <c r="C30" s="385">
        <v>1</v>
      </c>
      <c r="D30" s="386"/>
      <c r="E30" s="9"/>
      <c r="F30" s="24"/>
      <c r="G30" s="154"/>
      <c r="H30" s="139"/>
      <c r="I30" s="61"/>
      <c r="K30" s="17"/>
      <c r="L30" s="9"/>
      <c r="M30" s="9"/>
    </row>
    <row r="31" spans="1:16" ht="16.5" customHeight="1" thickBot="1">
      <c r="A31" s="373" t="s">
        <v>22</v>
      </c>
      <c r="B31" s="374"/>
      <c r="C31" s="387">
        <f>SUM(C24:C30)</f>
        <v>15</v>
      </c>
      <c r="D31" s="388"/>
      <c r="E31" s="9"/>
      <c r="F31" s="384"/>
      <c r="G31" s="384"/>
      <c r="H31" s="384"/>
      <c r="I31" s="384"/>
      <c r="J31" s="384"/>
      <c r="K31" s="384"/>
      <c r="L31" s="384"/>
      <c r="M31" s="384"/>
    </row>
    <row r="32" spans="1:16" ht="16.5" customHeight="1" thickBot="1">
      <c r="A32" s="78"/>
      <c r="B32" s="5"/>
      <c r="C32" s="17"/>
      <c r="D32" s="17"/>
      <c r="E32" s="9"/>
      <c r="F32" s="403"/>
      <c r="G32" s="403"/>
      <c r="H32" s="403"/>
      <c r="I32" s="403"/>
      <c r="J32" s="403"/>
      <c r="K32" s="403"/>
      <c r="L32" s="403"/>
      <c r="M32" s="403"/>
    </row>
    <row r="33" spans="1:13" ht="16.5" customHeight="1">
      <c r="A33" s="298">
        <v>31</v>
      </c>
      <c r="B33" s="289">
        <v>24</v>
      </c>
      <c r="C33" s="419"/>
      <c r="D33" s="420"/>
      <c r="E33" s="9"/>
      <c r="F33" s="403"/>
      <c r="G33" s="403"/>
      <c r="H33" s="403"/>
      <c r="I33" s="403"/>
      <c r="J33" s="403"/>
      <c r="K33" s="403"/>
      <c r="L33" s="403"/>
      <c r="M33" s="403"/>
    </row>
    <row r="34" spans="1:13" ht="16.5" customHeight="1" thickBot="1">
      <c r="A34" s="299">
        <v>33</v>
      </c>
      <c r="B34" s="291">
        <v>13</v>
      </c>
      <c r="C34" s="395">
        <v>1</v>
      </c>
      <c r="D34" s="396"/>
      <c r="H34" s="61"/>
    </row>
    <row r="35" spans="1:13" ht="13.5" thickBot="1">
      <c r="A35" s="387" t="s">
        <v>22</v>
      </c>
      <c r="B35" s="413"/>
      <c r="C35" s="387">
        <f t="shared" ref="C35" si="0">SUM(C33:C34)</f>
        <v>1</v>
      </c>
      <c r="D35" s="388"/>
      <c r="H35" s="5"/>
      <c r="J35" s="63" t="s">
        <v>6</v>
      </c>
    </row>
    <row r="36" spans="1:13" ht="15.75" customHeight="1">
      <c r="A36" s="77"/>
      <c r="C36" s="79"/>
      <c r="D36" s="9"/>
      <c r="E36" s="9"/>
    </row>
    <row r="37" spans="1:13">
      <c r="A37" s="76"/>
      <c r="C37" s="73"/>
    </row>
    <row r="38" spans="1:13">
      <c r="A38" s="76"/>
      <c r="C38" s="73"/>
      <c r="G38" s="285" t="s">
        <v>6</v>
      </c>
    </row>
  </sheetData>
  <sheetProtection password="9D31" sheet="1" objects="1" scenarios="1" selectLockedCells="1"/>
  <mergeCells count="74">
    <mergeCell ref="F32:M33"/>
    <mergeCell ref="K29:M29"/>
    <mergeCell ref="K26:M26"/>
    <mergeCell ref="K27:M27"/>
    <mergeCell ref="K28:M28"/>
    <mergeCell ref="J25:J26"/>
    <mergeCell ref="A1:L1"/>
    <mergeCell ref="F21:H21"/>
    <mergeCell ref="F8:F9"/>
    <mergeCell ref="G8:G9"/>
    <mergeCell ref="H8:H9"/>
    <mergeCell ref="F16:G16"/>
    <mergeCell ref="A3:B4"/>
    <mergeCell ref="C3:D4"/>
    <mergeCell ref="F3:F4"/>
    <mergeCell ref="C10:D10"/>
    <mergeCell ref="L11:L12"/>
    <mergeCell ref="A6:D6"/>
    <mergeCell ref="F17:G17"/>
    <mergeCell ref="F18:G18"/>
    <mergeCell ref="F19:G19"/>
    <mergeCell ref="F20:G20"/>
    <mergeCell ref="M11:M12"/>
    <mergeCell ref="G3:G4"/>
    <mergeCell ref="I3:J4"/>
    <mergeCell ref="A22:B22"/>
    <mergeCell ref="K3:L4"/>
    <mergeCell ref="C7:D7"/>
    <mergeCell ref="C8:D8"/>
    <mergeCell ref="C9:D9"/>
    <mergeCell ref="C11:D11"/>
    <mergeCell ref="C12:D12"/>
    <mergeCell ref="C13:D13"/>
    <mergeCell ref="C15:D15"/>
    <mergeCell ref="C16:D16"/>
    <mergeCell ref="F11:G13"/>
    <mergeCell ref="H11:H13"/>
    <mergeCell ref="F15:G15"/>
    <mergeCell ref="J11:J12"/>
    <mergeCell ref="K11:K12"/>
    <mergeCell ref="L8:L9"/>
    <mergeCell ref="I8:I9"/>
    <mergeCell ref="J8:J9"/>
    <mergeCell ref="K8:K9"/>
    <mergeCell ref="F6:M6"/>
    <mergeCell ref="M8:M9"/>
    <mergeCell ref="A35:B35"/>
    <mergeCell ref="C18:D18"/>
    <mergeCell ref="C22:D22"/>
    <mergeCell ref="C24:D24"/>
    <mergeCell ref="C25:D25"/>
    <mergeCell ref="C19:D19"/>
    <mergeCell ref="C20:D20"/>
    <mergeCell ref="C35:D35"/>
    <mergeCell ref="C33:D33"/>
    <mergeCell ref="C34:D34"/>
    <mergeCell ref="C26:D26"/>
    <mergeCell ref="C27:D27"/>
    <mergeCell ref="C28:D28"/>
    <mergeCell ref="C29:D29"/>
    <mergeCell ref="A31:B31"/>
    <mergeCell ref="F14:G14"/>
    <mergeCell ref="K25:M25"/>
    <mergeCell ref="H22:H23"/>
    <mergeCell ref="F22:F23"/>
    <mergeCell ref="G22:G23"/>
    <mergeCell ref="F31:M31"/>
    <mergeCell ref="C30:D30"/>
    <mergeCell ref="C31:D31"/>
    <mergeCell ref="J18:M19"/>
    <mergeCell ref="C21:D21"/>
    <mergeCell ref="C14:D14"/>
    <mergeCell ref="C17:D17"/>
    <mergeCell ref="J20:M23"/>
  </mergeCells>
  <conditionalFormatting sqref="N28:O33">
    <cfRule type="cellIs" dxfId="153" priority="70" operator="greaterThan">
      <formula>1</formula>
    </cfRule>
    <cfRule type="cellIs" dxfId="152" priority="71" operator="greaterThan">
      <formula>0</formula>
    </cfRule>
    <cfRule type="colorScale" priority="72">
      <colorScale>
        <cfvo type="num" val="1"/>
        <cfvo type="num" val="1"/>
        <color rgb="FFFF0000"/>
        <color rgb="FFFF0000"/>
      </colorScale>
    </cfRule>
  </conditionalFormatting>
  <conditionalFormatting sqref="R8:R10 H16:H20">
    <cfRule type="containsText" dxfId="151" priority="66" operator="containsText" text="N">
      <formula>NOT(ISERROR(SEARCH("N",H8)))</formula>
    </cfRule>
    <cfRule type="containsText" dxfId="150" priority="67" operator="containsText" text="Y">
      <formula>NOT(ISERROR(SEARCH("Y",H8)))</formula>
    </cfRule>
    <cfRule type="containsText" dxfId="149" priority="68" operator="containsText" text="n">
      <formula>NOT(ISERROR(SEARCH("n",H8)))</formula>
    </cfRule>
    <cfRule type="containsText" dxfId="148" priority="69" operator="containsText" text="y">
      <formula>NOT(ISERROR(SEARCH("y",H8)))</formula>
    </cfRule>
  </conditionalFormatting>
  <conditionalFormatting sqref="G22 F21:F22 F29 H11 F14:F18 Q8:Q10">
    <cfRule type="cellIs" dxfId="147" priority="56" operator="between">
      <formula>1</formula>
      <formula>9</formula>
    </cfRule>
  </conditionalFormatting>
  <conditionalFormatting sqref="H34 I25:I30 H24:H30">
    <cfRule type="cellIs" dxfId="146" priority="20" operator="greaterThan">
      <formula>0</formula>
    </cfRule>
  </conditionalFormatting>
  <conditionalFormatting sqref="A1">
    <cfRule type="containsText" dxfId="145" priority="19" operator="containsText" text="Victoria Hospital Night Report">
      <formula>NOT(ISERROR(SEARCH("Victoria Hospital Night Report",A1)))</formula>
    </cfRule>
  </conditionalFormatting>
  <conditionalFormatting sqref="I8:I9">
    <cfRule type="cellIs" dxfId="144" priority="15" operator="greaterThan">
      <formula>0</formula>
    </cfRule>
  </conditionalFormatting>
  <conditionalFormatting sqref="J8:K9">
    <cfRule type="cellIs" dxfId="143" priority="14" operator="greaterThan">
      <formula>0</formula>
    </cfRule>
  </conditionalFormatting>
  <conditionalFormatting sqref="A1:L1">
    <cfRule type="containsText" dxfId="142" priority="12" operator="containsText" text="Victoria Hospital Night Report">
      <formula>NOT(ISERROR(SEARCH("Victoria Hospital Night Report",A1)))</formula>
    </cfRule>
  </conditionalFormatting>
  <conditionalFormatting sqref="H16:H18">
    <cfRule type="containsText" dxfId="141" priority="3" operator="containsText" text="N">
      <formula>NOT(ISERROR(SEARCH("N",H16)))</formula>
    </cfRule>
    <cfRule type="containsText" dxfId="140" priority="4" operator="containsText" text="Y">
      <formula>NOT(ISERROR(SEARCH("Y",H16)))</formula>
    </cfRule>
    <cfRule type="containsText" dxfId="139" priority="5" operator="containsText" text="n">
      <formula>NOT(ISERROR(SEARCH("n",H16)))</formula>
    </cfRule>
    <cfRule type="containsText" dxfId="138" priority="6" operator="containsText" text="y">
      <formula>NOT(ISERROR(SEARCH("y",H16)))</formula>
    </cfRule>
  </conditionalFormatting>
  <conditionalFormatting sqref="I8:I9">
    <cfRule type="cellIs" dxfId="137" priority="2" operator="greaterThan">
      <formula>0</formula>
    </cfRule>
  </conditionalFormatting>
  <conditionalFormatting sqref="J8:K9">
    <cfRule type="cellIs" dxfId="136" priority="1" operator="greaterThan">
      <formula>0</formula>
    </cfRule>
  </conditionalFormatting>
  <dataValidations count="1">
    <dataValidation type="list" allowBlank="1" showInputMessage="1" showErrorMessage="1" sqref="K27:K29 L27:M28">
      <formula1>$Q$1:$Q$3</formula1>
    </dataValidation>
  </dataValidations>
  <pageMargins left="0.7" right="0.7" top="0.75" bottom="0.75" header="0.3" footer="0.3"/>
  <pageSetup paperSize="9" scale="68" orientation="landscape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22"/>
  <sheetViews>
    <sheetView showGridLines="0" zoomScaleNormal="100" workbookViewId="0">
      <selection activeCell="R9" sqref="Q8:R9"/>
    </sheetView>
  </sheetViews>
  <sheetFormatPr defaultColWidth="8.85546875" defaultRowHeight="26.25" customHeight="1"/>
  <cols>
    <col min="1" max="8" width="8.85546875" style="156"/>
    <col min="9" max="9" width="11.85546875" style="156" bestFit="1" customWidth="1"/>
    <col min="10" max="16384" width="8.85546875" style="156"/>
  </cols>
  <sheetData>
    <row r="1" spans="1:22" ht="14.25" customHeight="1" thickBot="1">
      <c r="A1" s="499" t="s">
        <v>86</v>
      </c>
      <c r="B1" s="500"/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1"/>
      <c r="P1" s="164"/>
    </row>
    <row r="2" spans="1:22" ht="26.25" customHeight="1" thickBot="1">
      <c r="A2" s="481" t="s">
        <v>179</v>
      </c>
      <c r="B2" s="482"/>
      <c r="C2" s="482"/>
      <c r="D2" s="482"/>
      <c r="E2" s="172"/>
      <c r="F2" s="171" t="s">
        <v>85</v>
      </c>
      <c r="G2" s="169">
        <v>468</v>
      </c>
      <c r="H2" s="161"/>
      <c r="I2" s="483">
        <f>E2/G2</f>
        <v>0</v>
      </c>
      <c r="J2" s="484"/>
      <c r="K2" s="479" t="s">
        <v>95</v>
      </c>
      <c r="L2" s="480"/>
      <c r="M2" s="161"/>
      <c r="N2" s="161"/>
      <c r="O2" s="167"/>
    </row>
    <row r="3" spans="1:22" ht="26.25" customHeight="1" thickBot="1">
      <c r="A3" s="481" t="s">
        <v>120</v>
      </c>
      <c r="B3" s="482"/>
      <c r="C3" s="482"/>
      <c r="D3" s="482"/>
      <c r="E3" s="172"/>
      <c r="F3" s="171" t="s">
        <v>85</v>
      </c>
      <c r="G3" s="169">
        <v>468</v>
      </c>
      <c r="H3" s="161"/>
      <c r="I3" s="483">
        <f>E3/G3</f>
        <v>0</v>
      </c>
      <c r="J3" s="484"/>
      <c r="K3" s="479" t="s">
        <v>95</v>
      </c>
      <c r="L3" s="480"/>
      <c r="M3" s="161"/>
      <c r="N3" s="161"/>
      <c r="O3" s="167"/>
    </row>
    <row r="4" spans="1:22" ht="6" customHeight="1" thickBot="1">
      <c r="A4" s="507"/>
      <c r="B4" s="508"/>
      <c r="C4" s="508"/>
      <c r="D4" s="508"/>
      <c r="E4" s="508"/>
      <c r="F4" s="508"/>
      <c r="G4" s="508"/>
      <c r="H4" s="508"/>
      <c r="I4" s="508"/>
      <c r="J4" s="508"/>
      <c r="K4" s="508"/>
      <c r="L4" s="508"/>
      <c r="M4" s="508"/>
      <c r="N4" s="508"/>
      <c r="O4" s="509"/>
    </row>
    <row r="5" spans="1:22" ht="15.75" customHeight="1" thickBot="1">
      <c r="A5" s="502" t="s">
        <v>87</v>
      </c>
      <c r="B5" s="503"/>
      <c r="C5" s="503"/>
      <c r="D5" s="503"/>
      <c r="E5" s="503"/>
      <c r="F5" s="503"/>
      <c r="G5" s="503"/>
      <c r="H5" s="503"/>
      <c r="I5" s="503"/>
      <c r="J5" s="503"/>
      <c r="K5" s="503"/>
      <c r="L5" s="503"/>
      <c r="M5" s="503"/>
      <c r="N5" s="503"/>
      <c r="O5" s="504"/>
      <c r="P5" s="165"/>
      <c r="U5" s="156" t="s">
        <v>180</v>
      </c>
    </row>
    <row r="6" spans="1:22" ht="26.25" customHeight="1" thickBot="1">
      <c r="A6" s="481" t="s">
        <v>88</v>
      </c>
      <c r="B6" s="482"/>
      <c r="C6" s="482"/>
      <c r="D6" s="482"/>
      <c r="E6" s="488"/>
      <c r="F6" s="489"/>
      <c r="G6" s="490"/>
      <c r="H6" s="161"/>
      <c r="I6" s="161"/>
      <c r="J6" s="161"/>
      <c r="K6" s="161"/>
      <c r="L6" s="161"/>
      <c r="M6" s="161"/>
      <c r="N6" s="161"/>
      <c r="O6" s="167"/>
      <c r="R6" s="158"/>
      <c r="S6" s="159"/>
      <c r="T6" s="159"/>
      <c r="U6" s="158"/>
      <c r="V6" s="158"/>
    </row>
    <row r="7" spans="1:22" ht="26.25" customHeight="1" thickBot="1">
      <c r="A7" s="481" t="s">
        <v>89</v>
      </c>
      <c r="B7" s="482"/>
      <c r="C7" s="482"/>
      <c r="D7" s="482"/>
      <c r="E7" s="488"/>
      <c r="F7" s="489"/>
      <c r="G7" s="490"/>
      <c r="H7" s="161"/>
      <c r="I7" s="497" t="e">
        <f>(E6-E7)/E6</f>
        <v>#DIV/0!</v>
      </c>
      <c r="J7" s="498"/>
      <c r="K7" s="161"/>
      <c r="L7" s="161"/>
      <c r="M7" s="161"/>
      <c r="N7" s="161"/>
      <c r="O7" s="167"/>
      <c r="P7" s="162"/>
      <c r="R7" s="158"/>
      <c r="S7" s="159"/>
      <c r="T7" s="159"/>
      <c r="U7" s="158"/>
      <c r="V7" s="158"/>
    </row>
    <row r="8" spans="1:22" ht="35.25" customHeight="1">
      <c r="A8" s="491" t="s">
        <v>92</v>
      </c>
      <c r="B8" s="492"/>
      <c r="C8" s="492"/>
      <c r="D8" s="493"/>
      <c r="E8" s="178"/>
      <c r="F8" s="171" t="s">
        <v>85</v>
      </c>
      <c r="G8" s="178"/>
      <c r="H8" s="161"/>
      <c r="I8" s="482" t="s">
        <v>90</v>
      </c>
      <c r="J8" s="482"/>
      <c r="K8" s="482"/>
      <c r="L8" s="179"/>
      <c r="M8" s="173">
        <f>L8-E8</f>
        <v>0</v>
      </c>
      <c r="N8" s="166" t="s">
        <v>94</v>
      </c>
      <c r="O8" s="180"/>
      <c r="P8" s="160"/>
      <c r="R8" s="157"/>
      <c r="S8" s="160"/>
      <c r="T8" s="161"/>
      <c r="U8" s="158"/>
      <c r="V8" s="158"/>
    </row>
    <row r="9" spans="1:22" ht="35.25" customHeight="1" thickBot="1">
      <c r="A9" s="494" t="s">
        <v>93</v>
      </c>
      <c r="B9" s="495"/>
      <c r="C9" s="495"/>
      <c r="D9" s="496"/>
      <c r="E9" s="178"/>
      <c r="F9" s="171" t="s">
        <v>85</v>
      </c>
      <c r="G9" s="178"/>
      <c r="H9" s="161"/>
      <c r="I9" s="482" t="s">
        <v>91</v>
      </c>
      <c r="J9" s="482"/>
      <c r="K9" s="482"/>
      <c r="L9" s="179"/>
      <c r="M9" s="174">
        <f>L9-E9</f>
        <v>0</v>
      </c>
      <c r="N9" s="166" t="s">
        <v>94</v>
      </c>
      <c r="O9" s="180"/>
      <c r="P9" s="163"/>
      <c r="R9" s="157"/>
      <c r="S9" s="160"/>
      <c r="T9" s="161"/>
      <c r="U9" s="158"/>
      <c r="V9" s="158"/>
    </row>
    <row r="10" spans="1:22" ht="30.75" customHeight="1" thickBot="1">
      <c r="A10" s="168"/>
      <c r="B10" s="162"/>
      <c r="C10" s="162"/>
      <c r="D10" s="162"/>
      <c r="E10" s="162"/>
      <c r="F10" s="162"/>
      <c r="G10" s="161"/>
      <c r="H10" s="161"/>
      <c r="I10" s="482" t="s">
        <v>114</v>
      </c>
      <c r="J10" s="482"/>
      <c r="K10" s="482"/>
      <c r="L10" s="161"/>
      <c r="M10" s="175">
        <f>SUM(M8:M9)</f>
        <v>0</v>
      </c>
      <c r="N10" s="162"/>
      <c r="O10" s="167"/>
      <c r="P10" s="162"/>
      <c r="R10" s="158" t="s">
        <v>6</v>
      </c>
      <c r="S10" s="159"/>
      <c r="T10" s="159"/>
      <c r="U10" s="158"/>
      <c r="V10" s="158"/>
    </row>
    <row r="11" spans="1:22" ht="3.75" customHeight="1" thickBot="1">
      <c r="A11" s="168"/>
      <c r="B11" s="162"/>
      <c r="C11" s="162"/>
      <c r="D11" s="162"/>
      <c r="E11" s="162"/>
      <c r="F11" s="162"/>
      <c r="G11" s="161"/>
      <c r="H11" s="161"/>
      <c r="I11" s="160"/>
      <c r="J11" s="160"/>
      <c r="K11" s="160"/>
      <c r="L11" s="161"/>
      <c r="M11" s="161"/>
      <c r="N11" s="161"/>
      <c r="O11" s="167"/>
      <c r="R11" s="158"/>
      <c r="S11" s="159"/>
      <c r="T11" s="159"/>
      <c r="U11" s="158"/>
      <c r="V11" s="158"/>
    </row>
    <row r="12" spans="1:22" ht="26.25" customHeight="1" thickBot="1">
      <c r="A12" s="505" t="s">
        <v>96</v>
      </c>
      <c r="B12" s="506"/>
      <c r="C12" s="506"/>
      <c r="D12" s="506"/>
      <c r="E12" s="513"/>
      <c r="F12" s="514"/>
      <c r="G12" s="515"/>
      <c r="H12" s="162"/>
      <c r="I12" s="482" t="s">
        <v>97</v>
      </c>
      <c r="J12" s="482"/>
      <c r="K12" s="482"/>
      <c r="L12" s="516"/>
      <c r="M12" s="513"/>
      <c r="N12" s="514"/>
      <c r="O12" s="515"/>
      <c r="P12" s="163"/>
      <c r="Q12" s="162"/>
      <c r="R12" s="162"/>
      <c r="S12" s="162"/>
      <c r="T12" s="162"/>
    </row>
    <row r="13" spans="1:22" ht="26.25" customHeight="1" thickBot="1">
      <c r="A13" s="505" t="s">
        <v>98</v>
      </c>
      <c r="B13" s="506"/>
      <c r="C13" s="506"/>
      <c r="D13" s="506"/>
      <c r="E13" s="510" t="s">
        <v>99</v>
      </c>
      <c r="F13" s="510"/>
      <c r="G13" s="510"/>
      <c r="H13" s="162"/>
      <c r="I13" s="512" t="s">
        <v>101</v>
      </c>
      <c r="J13" s="512"/>
      <c r="K13" s="512"/>
      <c r="L13" s="176"/>
      <c r="M13" s="510" t="s">
        <v>100</v>
      </c>
      <c r="N13" s="510"/>
      <c r="O13" s="511"/>
    </row>
    <row r="14" spans="1:22" ht="26.25" customHeight="1" thickBot="1">
      <c r="A14" s="168"/>
      <c r="B14" s="162"/>
      <c r="C14" s="162"/>
      <c r="D14" s="162"/>
      <c r="E14" s="162"/>
      <c r="F14" s="177"/>
      <c r="G14" s="162"/>
      <c r="H14" s="162"/>
      <c r="I14" s="162"/>
      <c r="J14" s="177"/>
      <c r="K14" s="162"/>
      <c r="L14" s="162" t="s">
        <v>6</v>
      </c>
      <c r="M14" s="162"/>
      <c r="N14" s="177"/>
      <c r="O14" s="167" t="s">
        <v>6</v>
      </c>
    </row>
    <row r="15" spans="1:22" ht="3.75" customHeight="1" thickBot="1">
      <c r="A15" s="168"/>
      <c r="B15" s="162"/>
      <c r="C15" s="162"/>
      <c r="D15" s="162"/>
      <c r="E15" s="162"/>
      <c r="F15" s="170"/>
      <c r="G15" s="162"/>
      <c r="H15" s="162"/>
      <c r="I15" s="162"/>
      <c r="J15" s="170"/>
      <c r="K15" s="162"/>
      <c r="L15" s="162"/>
      <c r="M15" s="162"/>
      <c r="N15" s="170"/>
      <c r="O15" s="167"/>
    </row>
    <row r="16" spans="1:22" ht="16.5" customHeight="1">
      <c r="A16" s="485" t="s">
        <v>102</v>
      </c>
      <c r="B16" s="486"/>
      <c r="C16" s="486"/>
      <c r="D16" s="486"/>
      <c r="E16" s="486"/>
      <c r="F16" s="486"/>
      <c r="G16" s="486"/>
      <c r="H16" s="486"/>
      <c r="I16" s="486"/>
      <c r="J16" s="486"/>
      <c r="K16" s="486"/>
      <c r="L16" s="486"/>
      <c r="M16" s="486"/>
      <c r="N16" s="486"/>
      <c r="O16" s="487"/>
    </row>
    <row r="17" spans="1:15" ht="26.25" customHeight="1">
      <c r="A17" s="522" t="s">
        <v>104</v>
      </c>
      <c r="B17" s="523"/>
      <c r="C17" s="523"/>
      <c r="D17" s="523"/>
      <c r="E17" s="524"/>
      <c r="F17" s="517"/>
      <c r="G17" s="518"/>
      <c r="H17" s="518"/>
      <c r="I17" s="518"/>
      <c r="J17" s="518"/>
      <c r="K17" s="518"/>
      <c r="L17" s="518"/>
      <c r="M17" s="518"/>
      <c r="N17" s="518"/>
      <c r="O17" s="519"/>
    </row>
    <row r="18" spans="1:15" ht="26.25" customHeight="1">
      <c r="A18" s="522" t="s">
        <v>105</v>
      </c>
      <c r="B18" s="523"/>
      <c r="C18" s="523"/>
      <c r="D18" s="523"/>
      <c r="E18" s="524"/>
      <c r="F18" s="517"/>
      <c r="G18" s="518"/>
      <c r="H18" s="518"/>
      <c r="I18" s="518"/>
      <c r="J18" s="518"/>
      <c r="K18" s="518"/>
      <c r="L18" s="518"/>
      <c r="M18" s="518"/>
      <c r="N18" s="518"/>
      <c r="O18" s="519"/>
    </row>
    <row r="19" spans="1:15" ht="26.25" customHeight="1">
      <c r="A19" s="522" t="s">
        <v>106</v>
      </c>
      <c r="B19" s="523"/>
      <c r="C19" s="523"/>
      <c r="D19" s="523"/>
      <c r="E19" s="524"/>
      <c r="F19" s="517"/>
      <c r="G19" s="518"/>
      <c r="H19" s="518"/>
      <c r="I19" s="518"/>
      <c r="J19" s="518"/>
      <c r="K19" s="518"/>
      <c r="L19" s="518"/>
      <c r="M19" s="518"/>
      <c r="N19" s="518"/>
      <c r="O19" s="519"/>
    </row>
    <row r="20" spans="1:15" ht="26.25" customHeight="1">
      <c r="A20" s="522" t="s">
        <v>103</v>
      </c>
      <c r="B20" s="523"/>
      <c r="C20" s="523"/>
      <c r="D20" s="523"/>
      <c r="E20" s="524"/>
      <c r="F20" s="517"/>
      <c r="G20" s="518"/>
      <c r="H20" s="518"/>
      <c r="I20" s="518"/>
      <c r="J20" s="518"/>
      <c r="K20" s="518"/>
      <c r="L20" s="518"/>
      <c r="M20" s="518"/>
      <c r="N20" s="518"/>
      <c r="O20" s="519"/>
    </row>
    <row r="21" spans="1:15" ht="26.25" customHeight="1">
      <c r="A21" s="525" t="s">
        <v>107</v>
      </c>
      <c r="B21" s="526"/>
      <c r="C21" s="526"/>
      <c r="D21" s="526"/>
      <c r="E21" s="527"/>
      <c r="F21" s="517"/>
      <c r="G21" s="518"/>
      <c r="H21" s="518"/>
      <c r="I21" s="518"/>
      <c r="J21" s="518"/>
      <c r="K21" s="518"/>
      <c r="L21" s="518"/>
      <c r="M21" s="518"/>
      <c r="N21" s="518"/>
      <c r="O21" s="519"/>
    </row>
    <row r="22" spans="1:15" ht="26.25" customHeight="1" thickBot="1">
      <c r="A22" s="520" t="s">
        <v>115</v>
      </c>
      <c r="B22" s="521"/>
      <c r="C22" s="521"/>
      <c r="D22" s="521"/>
      <c r="E22" s="521"/>
      <c r="F22" s="528"/>
      <c r="G22" s="529"/>
      <c r="H22" s="529"/>
      <c r="I22" s="529"/>
      <c r="J22" s="529"/>
      <c r="K22" s="529"/>
      <c r="L22" s="529"/>
      <c r="M22" s="529"/>
      <c r="N22" s="529"/>
      <c r="O22" s="530"/>
    </row>
  </sheetData>
  <sheetProtection password="9D31" sheet="1" objects="1" scenarios="1"/>
  <mergeCells count="40">
    <mergeCell ref="F19:O19"/>
    <mergeCell ref="F20:O20"/>
    <mergeCell ref="A22:E22"/>
    <mergeCell ref="A17:E17"/>
    <mergeCell ref="A18:E18"/>
    <mergeCell ref="A19:E19"/>
    <mergeCell ref="A20:E20"/>
    <mergeCell ref="A21:E21"/>
    <mergeCell ref="F21:O21"/>
    <mergeCell ref="F22:O22"/>
    <mergeCell ref="F17:O17"/>
    <mergeCell ref="F18:O18"/>
    <mergeCell ref="A1:O1"/>
    <mergeCell ref="A5:O5"/>
    <mergeCell ref="A13:D13"/>
    <mergeCell ref="A4:O4"/>
    <mergeCell ref="E13:G13"/>
    <mergeCell ref="M13:O13"/>
    <mergeCell ref="I13:K13"/>
    <mergeCell ref="A12:D12"/>
    <mergeCell ref="E12:G12"/>
    <mergeCell ref="I12:L12"/>
    <mergeCell ref="M12:O12"/>
    <mergeCell ref="I10:K10"/>
    <mergeCell ref="A7:D7"/>
    <mergeCell ref="K2:L2"/>
    <mergeCell ref="I8:K8"/>
    <mergeCell ref="I9:K9"/>
    <mergeCell ref="A16:O16"/>
    <mergeCell ref="E6:G6"/>
    <mergeCell ref="E7:G7"/>
    <mergeCell ref="A8:D8"/>
    <mergeCell ref="A9:D9"/>
    <mergeCell ref="I7:J7"/>
    <mergeCell ref="K3:L3"/>
    <mergeCell ref="A2:D2"/>
    <mergeCell ref="A6:D6"/>
    <mergeCell ref="I2:J2"/>
    <mergeCell ref="A3:D3"/>
    <mergeCell ref="I3:J3"/>
  </mergeCells>
  <conditionalFormatting sqref="M8:M10">
    <cfRule type="cellIs" dxfId="135" priority="1" operator="greaterThanOrEqual">
      <formula>0</formula>
    </cfRule>
    <cfRule type="cellIs" dxfId="134" priority="2" operator="lessThan">
      <formula>0</formula>
    </cfRule>
  </conditionalFormatting>
  <pageMargins left="0.7" right="0.7" top="0.75" bottom="0.75" header="0.3" footer="0.3"/>
  <pageSetup paperSize="9" scale="65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Z60"/>
  <sheetViews>
    <sheetView showGridLines="0" zoomScaleNormal="100" workbookViewId="0">
      <selection activeCell="J7" sqref="J7"/>
    </sheetView>
  </sheetViews>
  <sheetFormatPr defaultColWidth="9.140625" defaultRowHeight="12"/>
  <cols>
    <col min="1" max="1" width="12.7109375" style="3" customWidth="1"/>
    <col min="2" max="2" width="10" style="3" customWidth="1"/>
    <col min="3" max="3" width="9.140625" style="3" customWidth="1"/>
    <col min="4" max="4" width="10.5703125" style="3" customWidth="1"/>
    <col min="5" max="5" width="13.42578125" style="3" customWidth="1"/>
    <col min="6" max="6" width="10" style="3" customWidth="1"/>
    <col min="7" max="7" width="10.42578125" style="3" customWidth="1"/>
    <col min="8" max="8" width="10.28515625" style="3" customWidth="1"/>
    <col min="9" max="9" width="11" style="3" customWidth="1"/>
    <col min="10" max="10" width="9.28515625" style="3" customWidth="1"/>
    <col min="11" max="11" width="8.7109375" style="8" customWidth="1"/>
    <col min="12" max="12" width="9" style="3" customWidth="1"/>
    <col min="13" max="13" width="1.42578125" style="3" customWidth="1"/>
    <col min="14" max="14" width="13" style="3" customWidth="1"/>
    <col min="15" max="15" width="11.28515625" style="3" customWidth="1"/>
    <col min="16" max="16" width="12.42578125" style="3" customWidth="1"/>
    <col min="17" max="17" width="12.28515625" style="3" customWidth="1"/>
    <col min="18" max="18" width="10.85546875" style="3" customWidth="1"/>
    <col min="19" max="19" width="12.140625" style="3" customWidth="1"/>
    <col min="20" max="21" width="8" style="3" customWidth="1"/>
    <col min="22" max="16384" width="9.140625" style="3"/>
  </cols>
  <sheetData>
    <row r="1" spans="1:22" ht="21" customHeight="1" thickBot="1">
      <c r="A1" s="387" t="s">
        <v>42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5"/>
      <c r="P1" s="565"/>
      <c r="Q1" s="565"/>
      <c r="R1" s="565"/>
      <c r="S1" s="565"/>
      <c r="T1" s="565"/>
      <c r="U1" s="566"/>
    </row>
    <row r="2" spans="1:22" s="8" customFormat="1" ht="8.25" customHeight="1" thickBot="1">
      <c r="A2" s="603"/>
      <c r="B2" s="604"/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  <c r="U2" s="604"/>
    </row>
    <row r="3" spans="1:22" s="25" customFormat="1" ht="26.25" customHeight="1" thickBot="1">
      <c r="A3" s="98" t="s">
        <v>0</v>
      </c>
      <c r="B3" s="253"/>
      <c r="D3" s="301" t="s">
        <v>1</v>
      </c>
      <c r="E3" s="252"/>
      <c r="F3" s="3"/>
      <c r="G3" s="21"/>
      <c r="H3" s="99" t="s">
        <v>25</v>
      </c>
      <c r="I3" s="605"/>
      <c r="J3" s="606"/>
      <c r="K3" s="9"/>
      <c r="L3" s="99" t="s">
        <v>2</v>
      </c>
      <c r="M3" s="610">
        <v>0.35416666666666669</v>
      </c>
      <c r="N3" s="611"/>
      <c r="O3" s="22"/>
      <c r="P3" s="302" t="s">
        <v>51</v>
      </c>
      <c r="Q3" s="600"/>
      <c r="R3" s="601"/>
      <c r="S3" s="602"/>
      <c r="T3" s="22"/>
      <c r="U3" s="24"/>
    </row>
    <row r="4" spans="1:22" ht="16.5" customHeight="1" thickBot="1">
      <c r="J4" s="9"/>
      <c r="K4" s="9"/>
      <c r="L4" s="9"/>
      <c r="M4" s="9"/>
      <c r="N4" s="9"/>
      <c r="O4" s="9"/>
      <c r="P4" s="9"/>
      <c r="Q4" s="9"/>
      <c r="R4" s="17"/>
      <c r="S4" s="17"/>
      <c r="T4" s="9"/>
      <c r="U4" s="5"/>
    </row>
    <row r="5" spans="1:22" ht="18" customHeight="1" thickBot="1">
      <c r="A5" s="607" t="s">
        <v>5</v>
      </c>
      <c r="B5" s="608"/>
      <c r="C5" s="608"/>
      <c r="D5" s="608"/>
      <c r="E5" s="609"/>
      <c r="F5" s="5"/>
      <c r="G5" s="607" t="s">
        <v>7</v>
      </c>
      <c r="H5" s="608"/>
      <c r="I5" s="608"/>
      <c r="J5" s="609"/>
      <c r="K5" s="26"/>
      <c r="M5" s="607" t="s">
        <v>13</v>
      </c>
      <c r="N5" s="608"/>
      <c r="O5" s="608"/>
      <c r="P5" s="609"/>
      <c r="S5" s="226"/>
      <c r="T5" s="227"/>
      <c r="U5" s="228"/>
    </row>
    <row r="6" spans="1:22" ht="17.25" customHeight="1">
      <c r="A6" s="612" t="s">
        <v>17</v>
      </c>
      <c r="B6" s="613"/>
      <c r="C6" s="613"/>
      <c r="D6" s="613"/>
      <c r="E6" s="27">
        <f>E32</f>
        <v>0</v>
      </c>
      <c r="F6" s="9"/>
      <c r="G6" s="612" t="s">
        <v>17</v>
      </c>
      <c r="H6" s="613"/>
      <c r="I6" s="613"/>
      <c r="J6" s="27">
        <f>SUM(E34:E35,E38:E41,E44:E45,E37)</f>
        <v>0</v>
      </c>
      <c r="K6" s="17"/>
      <c r="M6" s="612" t="s">
        <v>17</v>
      </c>
      <c r="N6" s="613"/>
      <c r="O6" s="613"/>
      <c r="P6" s="27">
        <f t="shared" ref="P6:P13" si="0">E6+J6</f>
        <v>0</v>
      </c>
      <c r="R6" s="151" t="s">
        <v>6</v>
      </c>
      <c r="S6" s="17"/>
    </row>
    <row r="7" spans="1:22" ht="12" customHeight="1">
      <c r="A7" s="614" t="s">
        <v>18</v>
      </c>
      <c r="B7" s="615"/>
      <c r="C7" s="615"/>
      <c r="D7" s="615"/>
      <c r="E7" s="114">
        <v>55</v>
      </c>
      <c r="F7" s="26"/>
      <c r="G7" s="15" t="s">
        <v>18</v>
      </c>
      <c r="H7" s="16"/>
      <c r="I7" s="16"/>
      <c r="J7" s="128">
        <v>23</v>
      </c>
      <c r="K7" s="17"/>
      <c r="M7" s="614" t="s">
        <v>14</v>
      </c>
      <c r="N7" s="615"/>
      <c r="O7" s="615"/>
      <c r="P7" s="28">
        <f t="shared" si="0"/>
        <v>78</v>
      </c>
      <c r="S7" s="9"/>
    </row>
    <row r="8" spans="1:22" ht="12" customHeight="1">
      <c r="A8" s="614" t="s">
        <v>19</v>
      </c>
      <c r="B8" s="615"/>
      <c r="C8" s="615"/>
      <c r="D8" s="615"/>
      <c r="E8" s="29">
        <f>E6+E7</f>
        <v>55</v>
      </c>
      <c r="F8" s="26"/>
      <c r="G8" s="581" t="s">
        <v>19</v>
      </c>
      <c r="H8" s="582"/>
      <c r="I8" s="582"/>
      <c r="J8" s="29">
        <f>J6+J7</f>
        <v>23</v>
      </c>
      <c r="K8" s="17"/>
      <c r="M8" s="614" t="s">
        <v>19</v>
      </c>
      <c r="N8" s="615"/>
      <c r="O8" s="615"/>
      <c r="P8" s="29">
        <f t="shared" si="0"/>
        <v>78</v>
      </c>
      <c r="S8" s="9"/>
    </row>
    <row r="9" spans="1:22" ht="12" customHeight="1">
      <c r="A9" s="624" t="s">
        <v>4</v>
      </c>
      <c r="B9" s="625"/>
      <c r="C9" s="625"/>
      <c r="D9" s="626"/>
      <c r="E9" s="113"/>
      <c r="F9" s="9"/>
      <c r="G9" s="627" t="s">
        <v>4</v>
      </c>
      <c r="H9" s="628"/>
      <c r="I9" s="629"/>
      <c r="J9" s="113"/>
      <c r="K9" s="17"/>
      <c r="M9" s="624" t="s">
        <v>4</v>
      </c>
      <c r="N9" s="625"/>
      <c r="O9" s="626"/>
      <c r="P9" s="10">
        <f t="shared" si="0"/>
        <v>0</v>
      </c>
      <c r="Q9" s="9"/>
      <c r="R9" s="9"/>
      <c r="S9" s="9"/>
      <c r="U9" s="2"/>
      <c r="V9" s="142" t="s">
        <v>6</v>
      </c>
    </row>
    <row r="10" spans="1:22" ht="12" customHeight="1">
      <c r="A10" s="614" t="s">
        <v>3</v>
      </c>
      <c r="B10" s="615"/>
      <c r="C10" s="615"/>
      <c r="D10" s="615"/>
      <c r="E10" s="30">
        <f>E8-E9</f>
        <v>55</v>
      </c>
      <c r="F10" s="9"/>
      <c r="G10" s="581" t="s">
        <v>3</v>
      </c>
      <c r="H10" s="582"/>
      <c r="I10" s="582"/>
      <c r="J10" s="30">
        <f>J8-J9</f>
        <v>23</v>
      </c>
      <c r="K10" s="17"/>
      <c r="M10" s="614" t="s">
        <v>3</v>
      </c>
      <c r="N10" s="615"/>
      <c r="O10" s="615"/>
      <c r="P10" s="30">
        <f t="shared" si="0"/>
        <v>78</v>
      </c>
      <c r="Q10" s="9"/>
      <c r="R10" s="9"/>
      <c r="S10" s="205" t="s">
        <v>6</v>
      </c>
      <c r="U10" s="2"/>
    </row>
    <row r="11" spans="1:22" ht="12.75">
      <c r="A11" s="624" t="s">
        <v>8</v>
      </c>
      <c r="B11" s="625"/>
      <c r="C11" s="625"/>
      <c r="D11" s="626"/>
      <c r="E11" s="31">
        <f>D32</f>
        <v>0</v>
      </c>
      <c r="F11" s="9"/>
      <c r="G11" s="627" t="s">
        <v>8</v>
      </c>
      <c r="H11" s="628"/>
      <c r="I11" s="629"/>
      <c r="J11" s="31">
        <f>SUM(D34:D35,D38:D40,D44:D45,D37)</f>
        <v>0</v>
      </c>
      <c r="K11" s="17"/>
      <c r="M11" s="614" t="s">
        <v>8</v>
      </c>
      <c r="N11" s="615"/>
      <c r="O11" s="615"/>
      <c r="P11" s="31">
        <f t="shared" si="0"/>
        <v>0</v>
      </c>
      <c r="Q11" s="19" t="s">
        <v>6</v>
      </c>
      <c r="R11" s="19"/>
      <c r="S11" s="18"/>
      <c r="U11" s="2"/>
    </row>
    <row r="12" spans="1:22" ht="12.75">
      <c r="A12" s="581" t="s">
        <v>26</v>
      </c>
      <c r="B12" s="582"/>
      <c r="C12" s="582"/>
      <c r="D12" s="582"/>
      <c r="E12" s="32">
        <f>F32</f>
        <v>10</v>
      </c>
      <c r="F12" s="4"/>
      <c r="G12" s="581" t="s">
        <v>26</v>
      </c>
      <c r="H12" s="582"/>
      <c r="I12" s="582"/>
      <c r="J12" s="32">
        <f>SUM(F34:F35,F38:F40,F44:F45,F37)</f>
        <v>0</v>
      </c>
      <c r="K12" s="17"/>
      <c r="M12" s="581" t="s">
        <v>26</v>
      </c>
      <c r="N12" s="582"/>
      <c r="O12" s="582"/>
      <c r="P12" s="32">
        <f t="shared" si="0"/>
        <v>10</v>
      </c>
      <c r="Q12" s="19"/>
      <c r="R12" s="19"/>
      <c r="S12" s="18"/>
      <c r="U12" s="2"/>
    </row>
    <row r="13" spans="1:22" ht="12.75" thickBot="1">
      <c r="A13" s="583" t="s">
        <v>12</v>
      </c>
      <c r="B13" s="584"/>
      <c r="C13" s="584"/>
      <c r="D13" s="584"/>
      <c r="E13" s="33">
        <f>(E11+E12)-E10</f>
        <v>-45</v>
      </c>
      <c r="F13" s="4"/>
      <c r="G13" s="583" t="s">
        <v>12</v>
      </c>
      <c r="H13" s="584"/>
      <c r="I13" s="584"/>
      <c r="J13" s="33">
        <f>(J11+J12)-J10</f>
        <v>-23</v>
      </c>
      <c r="K13" s="17"/>
      <c r="M13" s="583" t="s">
        <v>12</v>
      </c>
      <c r="N13" s="584"/>
      <c r="O13" s="584"/>
      <c r="P13" s="33">
        <f t="shared" si="0"/>
        <v>-68</v>
      </c>
      <c r="Q13" s="19"/>
      <c r="R13" s="19"/>
      <c r="S13" s="9"/>
    </row>
    <row r="14" spans="1:22" ht="3" customHeight="1">
      <c r="K14" s="4"/>
      <c r="Q14" s="9"/>
      <c r="R14" s="9"/>
      <c r="S14" s="9"/>
    </row>
    <row r="15" spans="1:22" ht="3" customHeight="1" thickBot="1">
      <c r="K15" s="4"/>
      <c r="L15" s="5"/>
      <c r="O15" s="2"/>
    </row>
    <row r="16" spans="1:22" ht="13.5" customHeight="1" thickBot="1">
      <c r="A16" s="387" t="s">
        <v>32</v>
      </c>
      <c r="B16" s="580"/>
      <c r="C16" s="580"/>
      <c r="D16" s="580"/>
      <c r="E16" s="580"/>
      <c r="F16" s="580"/>
      <c r="G16" s="580"/>
      <c r="H16" s="580"/>
      <c r="I16" s="580"/>
      <c r="J16" s="580"/>
      <c r="K16" s="580"/>
      <c r="L16" s="388"/>
      <c r="M16" s="38"/>
      <c r="N16" s="387" t="s">
        <v>43</v>
      </c>
      <c r="O16" s="565"/>
      <c r="P16" s="565"/>
      <c r="Q16" s="565"/>
      <c r="R16" s="565"/>
      <c r="S16" s="565"/>
      <c r="T16" s="565"/>
      <c r="U16" s="565"/>
      <c r="V16" s="566"/>
    </row>
    <row r="17" spans="1:26" ht="69.75" customHeight="1" thickBot="1">
      <c r="A17" s="54" t="s">
        <v>9</v>
      </c>
      <c r="B17" s="246" t="s">
        <v>127</v>
      </c>
      <c r="C17" s="247" t="s">
        <v>130</v>
      </c>
      <c r="D17" s="55" t="s">
        <v>31</v>
      </c>
      <c r="E17" s="49" t="s">
        <v>121</v>
      </c>
      <c r="F17" s="55" t="s">
        <v>112</v>
      </c>
      <c r="G17" s="49" t="s">
        <v>23</v>
      </c>
      <c r="H17" s="39" t="s">
        <v>24</v>
      </c>
      <c r="I17" s="49" t="s">
        <v>80</v>
      </c>
      <c r="J17" s="56" t="s">
        <v>78</v>
      </c>
      <c r="K17" s="150" t="s">
        <v>79</v>
      </c>
      <c r="L17" s="90" t="s">
        <v>45</v>
      </c>
      <c r="M17" s="1"/>
      <c r="N17" s="42" t="s">
        <v>37</v>
      </c>
      <c r="O17" s="42" t="s">
        <v>38</v>
      </c>
      <c r="P17" s="42" t="s">
        <v>39</v>
      </c>
      <c r="Q17" s="48" t="s">
        <v>46</v>
      </c>
      <c r="R17" s="49" t="s">
        <v>40</v>
      </c>
      <c r="S17" s="49" t="s">
        <v>41</v>
      </c>
      <c r="T17" s="56" t="s">
        <v>78</v>
      </c>
      <c r="U17" s="150" t="s">
        <v>79</v>
      </c>
      <c r="V17" s="44" t="s">
        <v>45</v>
      </c>
    </row>
    <row r="18" spans="1:26" ht="13.5" customHeight="1">
      <c r="A18" s="292" t="s">
        <v>10</v>
      </c>
      <c r="B18" s="325"/>
      <c r="C18" s="332"/>
      <c r="D18" s="213"/>
      <c r="E18" s="152"/>
      <c r="F18" s="152">
        <v>10</v>
      </c>
      <c r="G18" s="100"/>
      <c r="H18" s="284">
        <f>F18-('Sitrep 1700'!B18+E18-D18)</f>
        <v>-12</v>
      </c>
      <c r="I18" s="100"/>
      <c r="J18" s="103"/>
      <c r="K18" s="103"/>
      <c r="L18" s="145" t="s">
        <v>113</v>
      </c>
      <c r="M18" s="9"/>
      <c r="N18" s="588"/>
      <c r="O18" s="596"/>
      <c r="P18" s="599"/>
      <c r="Q18" s="588"/>
      <c r="R18" s="590"/>
      <c r="S18" s="590"/>
      <c r="T18" s="593"/>
      <c r="U18" s="585"/>
      <c r="V18" s="585" t="s">
        <v>113</v>
      </c>
    </row>
    <row r="19" spans="1:26">
      <c r="A19" s="293">
        <v>13</v>
      </c>
      <c r="B19" s="326"/>
      <c r="C19" s="333"/>
      <c r="D19" s="214"/>
      <c r="E19" s="101"/>
      <c r="F19" s="101"/>
      <c r="G19" s="101"/>
      <c r="H19" s="283">
        <f>F19-('Sitrep 1700'!B19+E19-D19)</f>
        <v>-5</v>
      </c>
      <c r="I19" s="101"/>
      <c r="J19" s="104"/>
      <c r="K19" s="104"/>
      <c r="L19" s="188" t="s">
        <v>113</v>
      </c>
      <c r="M19" s="9"/>
      <c r="N19" s="589"/>
      <c r="O19" s="597"/>
      <c r="P19" s="589"/>
      <c r="Q19" s="589"/>
      <c r="R19" s="591"/>
      <c r="S19" s="591"/>
      <c r="T19" s="594"/>
      <c r="U19" s="586"/>
      <c r="V19" s="586"/>
    </row>
    <row r="20" spans="1:26" ht="12.75" thickBot="1">
      <c r="A20" s="293">
        <v>9</v>
      </c>
      <c r="B20" s="326"/>
      <c r="C20" s="333"/>
      <c r="D20" s="239"/>
      <c r="E20" s="240"/>
      <c r="F20" s="240"/>
      <c r="G20" s="240"/>
      <c r="H20" s="283">
        <f>F20-('Sitrep 1700'!B20+E20-D20)</f>
        <v>-1</v>
      </c>
      <c r="I20" s="240"/>
      <c r="J20" s="241"/>
      <c r="K20" s="241"/>
      <c r="L20" s="243" t="s">
        <v>113</v>
      </c>
      <c r="M20" s="9"/>
      <c r="N20" s="430"/>
      <c r="O20" s="598"/>
      <c r="P20" s="430"/>
      <c r="Q20" s="430"/>
      <c r="R20" s="592"/>
      <c r="S20" s="592"/>
      <c r="T20" s="595"/>
      <c r="U20" s="587"/>
      <c r="V20" s="587"/>
    </row>
    <row r="21" spans="1:26" ht="13.5" thickBot="1">
      <c r="A21" s="293">
        <v>22</v>
      </c>
      <c r="B21" s="326"/>
      <c r="C21" s="333"/>
      <c r="D21" s="214"/>
      <c r="E21" s="101"/>
      <c r="F21" s="101"/>
      <c r="G21" s="101"/>
      <c r="H21" s="283">
        <f>F21-('Sitrep 1700'!B21+E21-D21)</f>
        <v>-3</v>
      </c>
      <c r="I21" s="101"/>
      <c r="J21" s="104"/>
      <c r="K21" s="104"/>
      <c r="L21" s="243" t="s">
        <v>113</v>
      </c>
      <c r="M21" s="9"/>
      <c r="N21" s="387" t="s">
        <v>36</v>
      </c>
      <c r="O21" s="565"/>
      <c r="P21" s="565"/>
      <c r="Q21" s="565"/>
      <c r="R21" s="565"/>
      <c r="S21" s="565"/>
      <c r="T21" s="565"/>
      <c r="U21" s="565"/>
      <c r="V21" s="566"/>
    </row>
    <row r="22" spans="1:26" ht="12" customHeight="1">
      <c r="A22" s="293" t="s">
        <v>21</v>
      </c>
      <c r="B22" s="326"/>
      <c r="C22" s="333"/>
      <c r="D22" s="214"/>
      <c r="E22" s="101"/>
      <c r="F22" s="101"/>
      <c r="G22" s="101"/>
      <c r="H22" s="283">
        <f>F22-('Sitrep 1700'!B22+E22-D22)</f>
        <v>-10</v>
      </c>
      <c r="I22" s="101"/>
      <c r="J22" s="104"/>
      <c r="K22" s="104"/>
      <c r="L22" s="243" t="s">
        <v>113</v>
      </c>
      <c r="M22" s="9"/>
      <c r="N22" s="382" t="s">
        <v>36</v>
      </c>
      <c r="O22" s="382" t="s">
        <v>31</v>
      </c>
      <c r="P22" s="382" t="s">
        <v>44</v>
      </c>
      <c r="Q22" s="382" t="s">
        <v>34</v>
      </c>
      <c r="R22" s="382" t="s">
        <v>35</v>
      </c>
      <c r="S22" s="380" t="s">
        <v>24</v>
      </c>
      <c r="T22" s="568" t="s">
        <v>78</v>
      </c>
      <c r="U22" s="558" t="s">
        <v>79</v>
      </c>
      <c r="V22" s="380" t="s">
        <v>45</v>
      </c>
    </row>
    <row r="23" spans="1:26" ht="12" customHeight="1">
      <c r="A23" s="293">
        <v>32</v>
      </c>
      <c r="B23" s="326"/>
      <c r="C23" s="333"/>
      <c r="D23" s="214"/>
      <c r="E23" s="101"/>
      <c r="F23" s="101"/>
      <c r="G23" s="101"/>
      <c r="H23" s="283">
        <f>F23-('Sitrep 1700'!B23+E23-D23)</f>
        <v>-3</v>
      </c>
      <c r="I23" s="101"/>
      <c r="J23" s="104"/>
      <c r="K23" s="104"/>
      <c r="L23" s="243" t="s">
        <v>113</v>
      </c>
      <c r="M23" s="9"/>
      <c r="N23" s="560"/>
      <c r="O23" s="560"/>
      <c r="P23" s="560"/>
      <c r="Q23" s="560"/>
      <c r="R23" s="560"/>
      <c r="S23" s="381"/>
      <c r="T23" s="569"/>
      <c r="U23" s="559"/>
      <c r="V23" s="567"/>
    </row>
    <row r="24" spans="1:26" ht="12" customHeight="1" thickBot="1">
      <c r="A24" s="293">
        <v>33</v>
      </c>
      <c r="B24" s="326"/>
      <c r="C24" s="333"/>
      <c r="D24" s="239"/>
      <c r="E24" s="240"/>
      <c r="F24" s="240"/>
      <c r="G24" s="240"/>
      <c r="H24" s="283">
        <f>F24-('Sitrep 1700'!B24+E24-D24)</f>
        <v>-1</v>
      </c>
      <c r="I24" s="240"/>
      <c r="J24" s="241"/>
      <c r="K24" s="241"/>
      <c r="L24" s="243" t="s">
        <v>113</v>
      </c>
      <c r="M24" s="9"/>
      <c r="N24" s="560"/>
      <c r="O24" s="560"/>
      <c r="P24" s="560"/>
      <c r="Q24" s="560"/>
      <c r="R24" s="560"/>
      <c r="S24" s="381"/>
      <c r="T24" s="569"/>
      <c r="U24" s="559"/>
      <c r="V24" s="567"/>
    </row>
    <row r="25" spans="1:26">
      <c r="A25" s="293">
        <v>34</v>
      </c>
      <c r="B25" s="326"/>
      <c r="C25" s="333"/>
      <c r="D25" s="214"/>
      <c r="E25" s="101"/>
      <c r="F25" s="101"/>
      <c r="G25" s="101"/>
      <c r="H25" s="283">
        <f>F25-('Sitrep 1700'!B25+E25-D25)</f>
        <v>-3</v>
      </c>
      <c r="I25" s="101"/>
      <c r="J25" s="104"/>
      <c r="K25" s="104"/>
      <c r="L25" s="243" t="s">
        <v>113</v>
      </c>
      <c r="M25" s="9"/>
      <c r="N25" s="94" t="s">
        <v>84</v>
      </c>
      <c r="O25" s="110"/>
      <c r="P25" s="103"/>
      <c r="Q25" s="103"/>
      <c r="R25" s="103"/>
      <c r="S25" s="37">
        <f>(O25+R25)-Q25</f>
        <v>0</v>
      </c>
      <c r="T25" s="103"/>
      <c r="U25" s="103"/>
      <c r="V25" s="108" t="s">
        <v>113</v>
      </c>
    </row>
    <row r="26" spans="1:26" ht="12" customHeight="1">
      <c r="A26" s="293">
        <v>41</v>
      </c>
      <c r="B26" s="326"/>
      <c r="C26" s="333"/>
      <c r="D26" s="214"/>
      <c r="E26" s="101"/>
      <c r="F26" s="101"/>
      <c r="G26" s="101"/>
      <c r="H26" s="283">
        <f>F26-('Sitrep 1700'!B26+E26-D26)</f>
        <v>-3</v>
      </c>
      <c r="I26" s="101"/>
      <c r="J26" s="104"/>
      <c r="K26" s="104"/>
      <c r="L26" s="243" t="s">
        <v>113</v>
      </c>
      <c r="M26" s="9"/>
      <c r="N26" s="95" t="s">
        <v>30</v>
      </c>
      <c r="O26" s="111"/>
      <c r="P26" s="104"/>
      <c r="Q26" s="104"/>
      <c r="R26" s="104"/>
      <c r="S26" s="88">
        <f>(O26+R26)-Q26</f>
        <v>0</v>
      </c>
      <c r="T26" s="104"/>
      <c r="U26" s="104"/>
      <c r="V26" s="187" t="s">
        <v>113</v>
      </c>
      <c r="Z26" s="144" t="s">
        <v>6</v>
      </c>
    </row>
    <row r="27" spans="1:26" ht="12" customHeight="1">
      <c r="A27" s="293">
        <v>42</v>
      </c>
      <c r="B27" s="326"/>
      <c r="C27" s="333"/>
      <c r="D27" s="214"/>
      <c r="E27" s="101"/>
      <c r="F27" s="101"/>
      <c r="G27" s="101"/>
      <c r="H27" s="283">
        <f>F27-('Sitrep 1700'!B27+E27-D27)</f>
        <v>-3</v>
      </c>
      <c r="I27" s="101"/>
      <c r="J27" s="104"/>
      <c r="K27" s="104"/>
      <c r="L27" s="243" t="s">
        <v>113</v>
      </c>
      <c r="M27" s="9"/>
      <c r="N27" s="95" t="s">
        <v>29</v>
      </c>
      <c r="O27" s="111"/>
      <c r="P27" s="104"/>
      <c r="Q27" s="104"/>
      <c r="R27" s="104"/>
      <c r="S27" s="88">
        <f t="shared" ref="S27:S29" si="1">(O27+R27)-Q27</f>
        <v>0</v>
      </c>
      <c r="T27" s="104"/>
      <c r="U27" s="104"/>
      <c r="V27" s="187" t="s">
        <v>113</v>
      </c>
    </row>
    <row r="28" spans="1:26" ht="12.75" customHeight="1">
      <c r="A28" s="293">
        <v>43</v>
      </c>
      <c r="B28" s="326"/>
      <c r="C28" s="333"/>
      <c r="D28" s="214"/>
      <c r="E28" s="101"/>
      <c r="F28" s="101"/>
      <c r="G28" s="101"/>
      <c r="H28" s="283">
        <f>F28-('Sitrep 1700'!B28+E28-D28)</f>
        <v>-5</v>
      </c>
      <c r="I28" s="101"/>
      <c r="J28" s="104"/>
      <c r="K28" s="104"/>
      <c r="L28" s="243" t="s">
        <v>113</v>
      </c>
      <c r="M28" s="9"/>
      <c r="N28" s="95" t="s">
        <v>27</v>
      </c>
      <c r="O28" s="111"/>
      <c r="P28" s="104"/>
      <c r="Q28" s="104"/>
      <c r="R28" s="104"/>
      <c r="S28" s="88">
        <f t="shared" si="1"/>
        <v>0</v>
      </c>
      <c r="T28" s="104"/>
      <c r="U28" s="104"/>
      <c r="V28" s="187" t="s">
        <v>113</v>
      </c>
    </row>
    <row r="29" spans="1:26" ht="12.75" thickBot="1">
      <c r="A29" s="293">
        <v>44</v>
      </c>
      <c r="B29" s="326"/>
      <c r="C29" s="333"/>
      <c r="D29" s="214"/>
      <c r="E29" s="101"/>
      <c r="F29" s="101"/>
      <c r="G29" s="101"/>
      <c r="H29" s="283">
        <f>F29-('Sitrep 1700'!B29+E29-D29)</f>
        <v>-5</v>
      </c>
      <c r="I29" s="101"/>
      <c r="J29" s="104"/>
      <c r="K29" s="104"/>
      <c r="L29" s="243" t="s">
        <v>113</v>
      </c>
      <c r="M29" s="9"/>
      <c r="N29" s="96" t="s">
        <v>28</v>
      </c>
      <c r="O29" s="112"/>
      <c r="P29" s="105"/>
      <c r="Q29" s="105"/>
      <c r="R29" s="105"/>
      <c r="S29" s="86">
        <f t="shared" si="1"/>
        <v>0</v>
      </c>
      <c r="T29" s="105"/>
      <c r="U29" s="102"/>
      <c r="V29" s="109" t="s">
        <v>113</v>
      </c>
    </row>
    <row r="30" spans="1:26" ht="12.75" thickBot="1">
      <c r="A30" s="294">
        <v>51</v>
      </c>
      <c r="B30" s="327"/>
      <c r="C30" s="334"/>
      <c r="D30" s="215"/>
      <c r="E30" s="131"/>
      <c r="F30" s="131"/>
      <c r="G30" s="131"/>
      <c r="H30" s="283">
        <f>F30-('Sitrep 1700'!B30+E30-D30)</f>
        <v>-3</v>
      </c>
      <c r="I30" s="131"/>
      <c r="J30" s="133"/>
      <c r="K30" s="133"/>
      <c r="L30" s="243" t="s">
        <v>113</v>
      </c>
      <c r="M30" s="9"/>
      <c r="U30" s="2"/>
    </row>
    <row r="31" spans="1:26" ht="12.75" customHeight="1" thickBot="1">
      <c r="A31" s="294">
        <v>54</v>
      </c>
      <c r="B31" s="327"/>
      <c r="C31" s="334"/>
      <c r="D31" s="215"/>
      <c r="E31" s="131"/>
      <c r="F31" s="131"/>
      <c r="G31" s="131"/>
      <c r="H31" s="132">
        <f>F31-('Sitrep 1700'!B31+E31-D31)</f>
        <v>-1</v>
      </c>
      <c r="I31" s="131"/>
      <c r="J31" s="133"/>
      <c r="K31" s="133"/>
      <c r="L31" s="140" t="s">
        <v>113</v>
      </c>
      <c r="M31" s="1"/>
      <c r="N31" s="1"/>
      <c r="O31" s="448" t="s">
        <v>69</v>
      </c>
      <c r="P31" s="570"/>
      <c r="Q31" s="570"/>
      <c r="R31" s="570"/>
      <c r="S31" s="570"/>
      <c r="T31" s="570"/>
      <c r="U31" s="571"/>
    </row>
    <row r="32" spans="1:26" ht="12" customHeight="1" thickBot="1">
      <c r="A32" s="135" t="s">
        <v>22</v>
      </c>
      <c r="B32" s="136">
        <f>SUM(B18:B31)</f>
        <v>0</v>
      </c>
      <c r="C32" s="137">
        <f>SUM(C18:C30)</f>
        <v>0</v>
      </c>
      <c r="D32" s="137">
        <f>SUM(D18:D31)</f>
        <v>0</v>
      </c>
      <c r="E32" s="137">
        <f>SUM(E18:E31)</f>
        <v>0</v>
      </c>
      <c r="F32" s="137">
        <f>SUM(F18:F31)</f>
        <v>10</v>
      </c>
      <c r="G32" s="137">
        <f>SUM(G18:G31)</f>
        <v>0</v>
      </c>
      <c r="H32" s="137">
        <f>SUM(H18:H31)</f>
        <v>-58</v>
      </c>
      <c r="I32" s="137">
        <f>SUM(I18:I30)</f>
        <v>0</v>
      </c>
      <c r="J32" s="137">
        <f>SUM(J18:J30)</f>
        <v>0</v>
      </c>
      <c r="K32" s="137">
        <f>SUM(K18:K30)</f>
        <v>0</v>
      </c>
      <c r="L32" s="322"/>
      <c r="M32" s="9"/>
      <c r="N32" s="47"/>
      <c r="O32" s="382" t="s">
        <v>9</v>
      </c>
      <c r="P32" s="562" t="s">
        <v>15</v>
      </c>
      <c r="Q32" s="563"/>
      <c r="R32" s="576" t="s">
        <v>33</v>
      </c>
      <c r="S32" s="577"/>
      <c r="T32" s="572" t="s">
        <v>127</v>
      </c>
      <c r="U32" s="574" t="s">
        <v>130</v>
      </c>
    </row>
    <row r="33" spans="1:22" ht="12.75" thickBot="1">
      <c r="A33" s="43"/>
      <c r="B33" s="5"/>
      <c r="C33" s="134"/>
      <c r="D33" s="9"/>
      <c r="E33" s="9"/>
      <c r="F33" s="6"/>
      <c r="G33" s="9"/>
      <c r="H33" s="11"/>
      <c r="I33" s="11"/>
      <c r="J33" s="5"/>
      <c r="K33" s="5"/>
      <c r="L33" s="9"/>
      <c r="M33" s="9"/>
      <c r="N33" s="47"/>
      <c r="O33" s="561"/>
      <c r="P33" s="564"/>
      <c r="Q33" s="564"/>
      <c r="R33" s="578"/>
      <c r="S33" s="579"/>
      <c r="T33" s="573"/>
      <c r="U33" s="575"/>
    </row>
    <row r="34" spans="1:22" ht="12.75">
      <c r="A34" s="292" t="s">
        <v>11</v>
      </c>
      <c r="B34" s="325"/>
      <c r="C34" s="332"/>
      <c r="D34" s="213"/>
      <c r="E34" s="152"/>
      <c r="F34" s="189"/>
      <c r="G34" s="189"/>
      <c r="H34" s="284">
        <f>F34-('Sitrep 1700'!B34+E34)</f>
        <v>-8</v>
      </c>
      <c r="I34" s="189"/>
      <c r="J34" s="146"/>
      <c r="K34" s="106"/>
      <c r="L34" s="107" t="s">
        <v>113</v>
      </c>
      <c r="M34" s="9"/>
      <c r="O34" s="110" t="s">
        <v>182</v>
      </c>
      <c r="P34" s="531">
        <v>10</v>
      </c>
      <c r="Q34" s="531"/>
      <c r="R34" s="419"/>
      <c r="S34" s="545"/>
      <c r="T34" s="329"/>
      <c r="U34" s="336"/>
      <c r="V34" s="2"/>
    </row>
    <row r="35" spans="1:22" ht="12.75">
      <c r="A35" s="293" t="s">
        <v>16</v>
      </c>
      <c r="B35" s="326"/>
      <c r="C35" s="333"/>
      <c r="D35" s="214"/>
      <c r="E35" s="190"/>
      <c r="F35" s="190"/>
      <c r="G35" s="190"/>
      <c r="H35" s="283">
        <f>F35-('Sitrep 1700'!B35+E35)</f>
        <v>-6</v>
      </c>
      <c r="I35" s="190"/>
      <c r="J35" s="191"/>
      <c r="K35" s="191"/>
      <c r="L35" s="193" t="s">
        <v>113</v>
      </c>
      <c r="M35" s="9"/>
      <c r="O35" s="111">
        <v>13</v>
      </c>
      <c r="P35" s="548">
        <v>14</v>
      </c>
      <c r="Q35" s="548"/>
      <c r="R35" s="397"/>
      <c r="S35" s="546"/>
      <c r="T35" s="330"/>
      <c r="U35" s="337"/>
      <c r="V35" s="2"/>
    </row>
    <row r="36" spans="1:22" ht="12.75">
      <c r="A36" s="294">
        <v>10</v>
      </c>
      <c r="B36" s="327"/>
      <c r="C36" s="334"/>
      <c r="D36" s="215"/>
      <c r="E36" s="131"/>
      <c r="F36" s="131"/>
      <c r="G36" s="131"/>
      <c r="H36" s="283">
        <f>F36-('Sitrep 1700'!B36+E36)</f>
        <v>-4</v>
      </c>
      <c r="I36" s="131"/>
      <c r="J36" s="133"/>
      <c r="K36" s="133"/>
      <c r="L36" s="140" t="s">
        <v>113</v>
      </c>
      <c r="M36" s="9"/>
      <c r="O36" s="111"/>
      <c r="P36" s="548"/>
      <c r="Q36" s="549"/>
      <c r="R36" s="397"/>
      <c r="S36" s="546"/>
      <c r="T36" s="330"/>
      <c r="U36" s="337"/>
      <c r="V36" s="2"/>
    </row>
    <row r="37" spans="1:22" ht="12.75">
      <c r="A37" s="293">
        <v>9</v>
      </c>
      <c r="B37" s="326"/>
      <c r="C37" s="333"/>
      <c r="D37" s="214"/>
      <c r="E37" s="190"/>
      <c r="F37" s="190"/>
      <c r="G37" s="190"/>
      <c r="H37" s="283">
        <f>F37-('Sitrep 1700'!B37+E37)</f>
        <v>-4</v>
      </c>
      <c r="I37" s="190"/>
      <c r="J37" s="191"/>
      <c r="K37" s="191"/>
      <c r="L37" s="193" t="s">
        <v>113</v>
      </c>
      <c r="M37" s="9"/>
      <c r="O37" s="111"/>
      <c r="P37" s="548"/>
      <c r="Q37" s="548"/>
      <c r="R37" s="397"/>
      <c r="S37" s="546"/>
      <c r="T37" s="330"/>
      <c r="U37" s="337"/>
      <c r="V37" s="2"/>
    </row>
    <row r="38" spans="1:22" ht="13.5" customHeight="1">
      <c r="A38" s="295">
        <v>52</v>
      </c>
      <c r="B38" s="328"/>
      <c r="C38" s="335"/>
      <c r="D38" s="116"/>
      <c r="E38" s="199"/>
      <c r="F38" s="199"/>
      <c r="G38" s="199"/>
      <c r="H38" s="283">
        <f>F38-('Sitrep 1700'!B38+E38)</f>
        <v>-6</v>
      </c>
      <c r="I38" s="199"/>
      <c r="J38" s="200"/>
      <c r="K38" s="200"/>
      <c r="L38" s="201" t="s">
        <v>113</v>
      </c>
      <c r="M38" s="9"/>
      <c r="O38" s="111"/>
      <c r="P38" s="548"/>
      <c r="Q38" s="548"/>
      <c r="R38" s="397"/>
      <c r="S38" s="417"/>
      <c r="T38" s="330"/>
      <c r="U38" s="337"/>
      <c r="V38" s="2"/>
    </row>
    <row r="39" spans="1:22" ht="13.5" customHeight="1">
      <c r="A39" s="293">
        <v>53</v>
      </c>
      <c r="B39" s="326"/>
      <c r="C39" s="333"/>
      <c r="D39" s="214"/>
      <c r="E39" s="190"/>
      <c r="F39" s="190"/>
      <c r="G39" s="190"/>
      <c r="H39" s="283">
        <f>F39-('Sitrep 1700'!B39+E39)</f>
        <v>-6</v>
      </c>
      <c r="I39" s="190"/>
      <c r="J39" s="191"/>
      <c r="K39" s="191"/>
      <c r="L39" s="193" t="s">
        <v>113</v>
      </c>
      <c r="M39" s="9"/>
      <c r="O39" s="111"/>
      <c r="P39" s="548"/>
      <c r="Q39" s="548"/>
      <c r="R39" s="397"/>
      <c r="S39" s="417"/>
      <c r="T39" s="330"/>
      <c r="U39" s="337"/>
      <c r="V39" s="2"/>
    </row>
    <row r="40" spans="1:22" ht="13.5" thickBot="1">
      <c r="A40" s="294">
        <v>54</v>
      </c>
      <c r="B40" s="327"/>
      <c r="C40" s="334"/>
      <c r="D40" s="215"/>
      <c r="E40" s="131"/>
      <c r="F40" s="131"/>
      <c r="G40" s="131"/>
      <c r="H40" s="283">
        <f>F40-('Sitrep 1700'!B40+E40)</f>
        <v>-6</v>
      </c>
      <c r="I40" s="131"/>
      <c r="J40" s="133"/>
      <c r="K40" s="133"/>
      <c r="L40" s="140" t="s">
        <v>113</v>
      </c>
      <c r="M40" s="9"/>
      <c r="O40" s="225"/>
      <c r="P40" s="464"/>
      <c r="Q40" s="464"/>
      <c r="R40" s="395"/>
      <c r="S40" s="547"/>
      <c r="T40" s="331"/>
      <c r="U40" s="338"/>
      <c r="V40" s="2"/>
    </row>
    <row r="41" spans="1:22" ht="12.75" thickBot="1">
      <c r="A41" s="294" t="s">
        <v>71</v>
      </c>
      <c r="B41" s="323"/>
      <c r="C41" s="323"/>
      <c r="D41" s="323"/>
      <c r="E41" s="131"/>
      <c r="F41" s="323"/>
      <c r="G41" s="323"/>
      <c r="H41" s="323"/>
      <c r="I41" s="323"/>
      <c r="J41" s="323"/>
      <c r="K41" s="323"/>
      <c r="L41" s="324"/>
      <c r="M41" s="9"/>
      <c r="O41" s="534" t="s">
        <v>109</v>
      </c>
      <c r="P41" s="535"/>
      <c r="Q41" s="538" t="s">
        <v>110</v>
      </c>
      <c r="R41" s="540" t="s">
        <v>20</v>
      </c>
      <c r="S41" s="532" t="s">
        <v>111</v>
      </c>
      <c r="V41" s="2"/>
    </row>
    <row r="42" spans="1:22" ht="12.75" thickBot="1">
      <c r="A42" s="135" t="s">
        <v>22</v>
      </c>
      <c r="B42" s="136">
        <f>SUM(B34:B40)</f>
        <v>0</v>
      </c>
      <c r="C42" s="137">
        <f>SUM(C34:C40)</f>
        <v>0</v>
      </c>
      <c r="D42" s="137">
        <f>SUM(D34:D40)</f>
        <v>0</v>
      </c>
      <c r="E42" s="137">
        <f>SUM(E34:E41)</f>
        <v>0</v>
      </c>
      <c r="F42" s="137">
        <f t="shared" ref="F42:K42" si="2">SUM(F34:F40)</f>
        <v>0</v>
      </c>
      <c r="G42" s="137">
        <f t="shared" si="2"/>
        <v>0</v>
      </c>
      <c r="H42" s="137">
        <f t="shared" si="2"/>
        <v>-40</v>
      </c>
      <c r="I42" s="137">
        <f t="shared" si="2"/>
        <v>0</v>
      </c>
      <c r="J42" s="137">
        <f t="shared" si="2"/>
        <v>0</v>
      </c>
      <c r="K42" s="137">
        <f t="shared" si="2"/>
        <v>0</v>
      </c>
      <c r="L42" s="322"/>
      <c r="M42" s="9"/>
      <c r="O42" s="536"/>
      <c r="P42" s="537"/>
      <c r="Q42" s="539"/>
      <c r="R42" s="541"/>
      <c r="S42" s="533"/>
      <c r="V42" s="2"/>
    </row>
    <row r="43" spans="1:22" ht="12.75" thickBot="1">
      <c r="A43" s="43"/>
      <c r="B43" s="5"/>
      <c r="C43" s="134"/>
      <c r="D43" s="9"/>
      <c r="E43" s="9"/>
      <c r="F43" s="6"/>
      <c r="G43" s="9"/>
      <c r="H43" s="11"/>
      <c r="I43" s="11"/>
      <c r="J43" s="5"/>
      <c r="K43" s="5"/>
      <c r="L43" s="9"/>
      <c r="M43" s="9"/>
      <c r="O43" s="555" t="s">
        <v>108</v>
      </c>
      <c r="P43" s="556"/>
      <c r="Q43" s="556"/>
      <c r="R43" s="556"/>
      <c r="S43" s="557"/>
      <c r="V43" s="2"/>
    </row>
    <row r="44" spans="1:22">
      <c r="A44" s="292">
        <v>31</v>
      </c>
      <c r="B44" s="325"/>
      <c r="C44" s="332"/>
      <c r="D44" s="213"/>
      <c r="E44" s="186"/>
      <c r="F44" s="100"/>
      <c r="G44" s="100"/>
      <c r="H44" s="89">
        <f>F44-('Sitrep 1700'!B44+E44)</f>
        <v>-4</v>
      </c>
      <c r="I44" s="100"/>
      <c r="J44" s="103"/>
      <c r="K44" s="103"/>
      <c r="L44" s="145" t="s">
        <v>113</v>
      </c>
      <c r="M44" s="9"/>
      <c r="O44" s="616"/>
      <c r="P44" s="617"/>
      <c r="Q44" s="620"/>
      <c r="R44" s="620"/>
      <c r="S44" s="622"/>
    </row>
    <row r="45" spans="1:22" s="183" customFormat="1" ht="12.75" thickBot="1">
      <c r="A45" s="294">
        <v>33</v>
      </c>
      <c r="B45" s="327"/>
      <c r="C45" s="334"/>
      <c r="D45" s="215"/>
      <c r="E45" s="131"/>
      <c r="F45" s="131"/>
      <c r="G45" s="131"/>
      <c r="H45" s="132">
        <f>F45-('Sitrep 1700'!B45+E45)</f>
        <v>-4</v>
      </c>
      <c r="I45" s="131"/>
      <c r="J45" s="133"/>
      <c r="K45" s="133"/>
      <c r="L45" s="140" t="s">
        <v>113</v>
      </c>
      <c r="M45" s="182"/>
      <c r="O45" s="618"/>
      <c r="P45" s="619"/>
      <c r="Q45" s="621"/>
      <c r="R45" s="621"/>
      <c r="S45" s="623"/>
      <c r="U45" s="227" t="s">
        <v>6</v>
      </c>
      <c r="V45" s="306" t="s">
        <v>6</v>
      </c>
    </row>
    <row r="46" spans="1:22" s="183" customFormat="1" ht="12.75" thickBot="1">
      <c r="A46" s="135" t="s">
        <v>22</v>
      </c>
      <c r="B46" s="136">
        <f t="shared" ref="B46:I46" si="3">SUM(B44:B45)</f>
        <v>0</v>
      </c>
      <c r="C46" s="137">
        <f>SUM(C44:C45)</f>
        <v>0</v>
      </c>
      <c r="D46" s="137">
        <f t="shared" si="3"/>
        <v>0</v>
      </c>
      <c r="E46" s="137">
        <f t="shared" si="3"/>
        <v>0</v>
      </c>
      <c r="F46" s="137">
        <f>SUM(F44:F45)</f>
        <v>0</v>
      </c>
      <c r="G46" s="137">
        <f t="shared" si="3"/>
        <v>0</v>
      </c>
      <c r="H46" s="137">
        <f t="shared" si="3"/>
        <v>-8</v>
      </c>
      <c r="I46" s="137">
        <f t="shared" si="3"/>
        <v>0</v>
      </c>
      <c r="J46" s="137">
        <f>SUM(J44:J45)</f>
        <v>0</v>
      </c>
      <c r="K46" s="137">
        <f>SUM(K44:K45)</f>
        <v>0</v>
      </c>
      <c r="L46" s="322"/>
      <c r="M46" s="182"/>
      <c r="O46" s="550" t="s">
        <v>118</v>
      </c>
      <c r="P46" s="551"/>
      <c r="Q46" s="551"/>
      <c r="R46" s="551"/>
      <c r="S46" s="552"/>
      <c r="V46" s="182"/>
    </row>
    <row r="47" spans="1:22" ht="24.75" customHeight="1" thickBot="1">
      <c r="A47" s="542" t="s">
        <v>181</v>
      </c>
      <c r="B47" s="543"/>
      <c r="C47" s="543"/>
      <c r="D47" s="544"/>
      <c r="E47" s="339"/>
      <c r="F47" s="182"/>
      <c r="G47" s="182"/>
      <c r="H47" s="182"/>
      <c r="I47" s="182"/>
      <c r="J47" s="182"/>
      <c r="K47" s="182"/>
      <c r="L47" s="182"/>
      <c r="O47" s="553"/>
      <c r="P47" s="554"/>
      <c r="Q47" s="303"/>
      <c r="R47" s="303"/>
      <c r="S47" s="304"/>
    </row>
    <row r="48" spans="1:22" ht="6" customHeight="1" thickBot="1">
      <c r="A48" s="43"/>
      <c r="B48" s="5"/>
      <c r="C48" s="139"/>
      <c r="D48" s="9"/>
      <c r="E48" s="9"/>
      <c r="F48" s="6"/>
      <c r="G48" s="9"/>
      <c r="H48" s="11"/>
      <c r="I48" s="11"/>
      <c r="J48" s="5"/>
      <c r="K48" s="5"/>
      <c r="L48" s="181"/>
      <c r="P48" s="204" t="s">
        <v>6</v>
      </c>
    </row>
    <row r="49" spans="1:22" ht="25.5" customHeight="1">
      <c r="A49" s="194" t="s">
        <v>75</v>
      </c>
      <c r="B49" s="195"/>
      <c r="C49" s="195"/>
      <c r="D49" s="216"/>
      <c r="E49" s="216"/>
      <c r="F49" s="311"/>
      <c r="G49" s="311"/>
      <c r="H49" s="196"/>
      <c r="I49" s="146"/>
      <c r="J49" s="146"/>
      <c r="K49" s="107"/>
      <c r="L49" s="314" t="s">
        <v>113</v>
      </c>
    </row>
    <row r="50" spans="1:22" ht="18.75" customHeight="1">
      <c r="A50" s="36" t="s">
        <v>72</v>
      </c>
      <c r="B50" s="147"/>
      <c r="C50" s="147"/>
      <c r="D50" s="307"/>
      <c r="E50" s="307"/>
      <c r="F50" s="309"/>
      <c r="G50" s="309"/>
      <c r="H50" s="153"/>
      <c r="I50" s="310"/>
      <c r="J50" s="310"/>
      <c r="K50" s="312"/>
      <c r="L50" s="315" t="s">
        <v>113</v>
      </c>
      <c r="U50" s="227" t="s">
        <v>6</v>
      </c>
    </row>
    <row r="51" spans="1:22" ht="26.25" customHeight="1">
      <c r="A51" s="36" t="s">
        <v>73</v>
      </c>
      <c r="B51" s="147"/>
      <c r="C51" s="147"/>
      <c r="D51" s="121"/>
      <c r="E51" s="121"/>
      <c r="F51" s="309"/>
      <c r="G51" s="309"/>
      <c r="H51" s="153"/>
      <c r="I51" s="310"/>
      <c r="J51" s="133"/>
      <c r="K51" s="317"/>
      <c r="L51" s="315" t="s">
        <v>113</v>
      </c>
    </row>
    <row r="52" spans="1:22" ht="27.75" customHeight="1">
      <c r="A52" s="36" t="s">
        <v>74</v>
      </c>
      <c r="B52" s="147"/>
      <c r="C52" s="147"/>
      <c r="D52" s="121"/>
      <c r="E52" s="121"/>
      <c r="F52" s="309"/>
      <c r="G52" s="309"/>
      <c r="H52" s="153"/>
      <c r="I52" s="310"/>
      <c r="J52" s="310"/>
      <c r="K52" s="312"/>
      <c r="L52" s="315" t="s">
        <v>113</v>
      </c>
    </row>
    <row r="53" spans="1:22" s="308" customFormat="1" ht="27.75" customHeight="1">
      <c r="A53" s="36" t="s">
        <v>184</v>
      </c>
      <c r="B53" s="147"/>
      <c r="C53" s="147"/>
      <c r="D53" s="121"/>
      <c r="E53" s="121"/>
      <c r="F53" s="309"/>
      <c r="G53" s="309"/>
      <c r="H53" s="153"/>
      <c r="I53" s="310"/>
      <c r="J53" s="310"/>
      <c r="K53" s="312"/>
      <c r="L53" s="315" t="s">
        <v>113</v>
      </c>
    </row>
    <row r="54" spans="1:22" s="142" customFormat="1" ht="24">
      <c r="A54" s="149" t="s">
        <v>76</v>
      </c>
      <c r="B54" s="147"/>
      <c r="C54" s="147"/>
      <c r="D54" s="121"/>
      <c r="E54" s="121"/>
      <c r="F54" s="309"/>
      <c r="G54" s="309"/>
      <c r="H54" s="153"/>
      <c r="I54" s="310"/>
      <c r="J54" s="200"/>
      <c r="K54" s="318"/>
      <c r="L54" s="315" t="s">
        <v>113</v>
      </c>
      <c r="M54" s="141"/>
      <c r="P54" s="142" t="s">
        <v>6</v>
      </c>
      <c r="V54" s="141"/>
    </row>
    <row r="55" spans="1:22" ht="15.75" customHeight="1" thickBot="1">
      <c r="A55" s="143" t="s">
        <v>77</v>
      </c>
      <c r="B55" s="148"/>
      <c r="C55" s="148"/>
      <c r="D55" s="122"/>
      <c r="E55" s="122"/>
      <c r="F55" s="313"/>
      <c r="G55" s="313"/>
      <c r="H55" s="197"/>
      <c r="I55" s="105"/>
      <c r="J55" s="105"/>
      <c r="K55" s="109"/>
      <c r="L55" s="316" t="s">
        <v>113</v>
      </c>
      <c r="O55" s="308" t="s">
        <v>6</v>
      </c>
    </row>
    <row r="56" spans="1:22" ht="15.75" customHeight="1" thickBot="1">
      <c r="A56" s="135" t="s">
        <v>22</v>
      </c>
      <c r="B56" s="319"/>
      <c r="C56" s="320"/>
      <c r="D56" s="137">
        <f t="shared" ref="D56:K56" si="4">SUM(D37:D55)</f>
        <v>0</v>
      </c>
      <c r="E56" s="137">
        <f t="shared" si="4"/>
        <v>0</v>
      </c>
      <c r="F56" s="321">
        <f t="shared" si="4"/>
        <v>0</v>
      </c>
      <c r="G56" s="321">
        <f t="shared" si="4"/>
        <v>0</v>
      </c>
      <c r="H56" s="137">
        <f t="shared" si="4"/>
        <v>-78</v>
      </c>
      <c r="I56" s="137">
        <f t="shared" si="4"/>
        <v>0</v>
      </c>
      <c r="J56" s="137">
        <f t="shared" si="4"/>
        <v>0</v>
      </c>
      <c r="K56" s="137">
        <f t="shared" si="4"/>
        <v>0</v>
      </c>
      <c r="L56" s="322"/>
      <c r="O56" s="142" t="s">
        <v>6</v>
      </c>
    </row>
    <row r="57" spans="1:22">
      <c r="K57" s="4"/>
    </row>
    <row r="60" spans="1:22">
      <c r="E60" s="308" t="s">
        <v>6</v>
      </c>
    </row>
  </sheetData>
  <sheetProtection password="9D31" sheet="1" objects="1" scenarios="1" selectLockedCells="1"/>
  <mergeCells count="84">
    <mergeCell ref="O44:P45"/>
    <mergeCell ref="Q44:Q45"/>
    <mergeCell ref="R44:R45"/>
    <mergeCell ref="S44:S45"/>
    <mergeCell ref="A6:D6"/>
    <mergeCell ref="A7:D7"/>
    <mergeCell ref="A9:D9"/>
    <mergeCell ref="G9:I9"/>
    <mergeCell ref="M9:O9"/>
    <mergeCell ref="G10:I10"/>
    <mergeCell ref="M10:O10"/>
    <mergeCell ref="A11:D11"/>
    <mergeCell ref="M11:O11"/>
    <mergeCell ref="G11:I11"/>
    <mergeCell ref="A10:D10"/>
    <mergeCell ref="A13:D13"/>
    <mergeCell ref="G6:I6"/>
    <mergeCell ref="M6:O6"/>
    <mergeCell ref="M7:O7"/>
    <mergeCell ref="A8:D8"/>
    <mergeCell ref="G8:I8"/>
    <mergeCell ref="M8:O8"/>
    <mergeCell ref="Q3:S3"/>
    <mergeCell ref="A1:U1"/>
    <mergeCell ref="A2:U2"/>
    <mergeCell ref="I3:J3"/>
    <mergeCell ref="A5:E5"/>
    <mergeCell ref="G5:J5"/>
    <mergeCell ref="M3:N3"/>
    <mergeCell ref="M5:P5"/>
    <mergeCell ref="U18:U20"/>
    <mergeCell ref="N18:N20"/>
    <mergeCell ref="N16:V16"/>
    <mergeCell ref="S18:S20"/>
    <mergeCell ref="T18:T20"/>
    <mergeCell ref="O18:O20"/>
    <mergeCell ref="P18:P20"/>
    <mergeCell ref="Q18:Q20"/>
    <mergeCell ref="V18:V20"/>
    <mergeCell ref="R18:R20"/>
    <mergeCell ref="A16:L16"/>
    <mergeCell ref="A12:D12"/>
    <mergeCell ref="G13:I13"/>
    <mergeCell ref="M13:O13"/>
    <mergeCell ref="M12:O12"/>
    <mergeCell ref="G12:I12"/>
    <mergeCell ref="U22:U24"/>
    <mergeCell ref="R22:R24"/>
    <mergeCell ref="O32:O33"/>
    <mergeCell ref="P32:Q33"/>
    <mergeCell ref="N21:V21"/>
    <mergeCell ref="V22:V24"/>
    <mergeCell ref="N22:N24"/>
    <mergeCell ref="O22:O24"/>
    <mergeCell ref="P22:P24"/>
    <mergeCell ref="Q22:Q24"/>
    <mergeCell ref="S22:S24"/>
    <mergeCell ref="T22:T24"/>
    <mergeCell ref="O31:U31"/>
    <mergeCell ref="T32:T33"/>
    <mergeCell ref="U32:U33"/>
    <mergeCell ref="R32:S33"/>
    <mergeCell ref="A47:D47"/>
    <mergeCell ref="R34:S34"/>
    <mergeCell ref="R35:S35"/>
    <mergeCell ref="R36:S36"/>
    <mergeCell ref="R37:S37"/>
    <mergeCell ref="R38:S38"/>
    <mergeCell ref="R39:S39"/>
    <mergeCell ref="R40:S40"/>
    <mergeCell ref="P35:Q35"/>
    <mergeCell ref="P36:Q36"/>
    <mergeCell ref="P37:Q37"/>
    <mergeCell ref="P38:Q38"/>
    <mergeCell ref="P39:Q39"/>
    <mergeCell ref="O46:S46"/>
    <mergeCell ref="O47:P47"/>
    <mergeCell ref="O43:S43"/>
    <mergeCell ref="P34:Q34"/>
    <mergeCell ref="P40:Q40"/>
    <mergeCell ref="S41:S42"/>
    <mergeCell ref="O41:P42"/>
    <mergeCell ref="Q41:Q42"/>
    <mergeCell ref="R41:R42"/>
  </mergeCells>
  <phoneticPr fontId="8" type="noConversion"/>
  <conditionalFormatting sqref="F34:F36 F38:F40 F18:F31">
    <cfRule type="cellIs" dxfId="133" priority="110" operator="greaterThanOrEqual">
      <formula>B18</formula>
    </cfRule>
  </conditionalFormatting>
  <conditionalFormatting sqref="G18:G31">
    <cfRule type="cellIs" dxfId="132" priority="109" operator="greaterThan">
      <formula>0</formula>
    </cfRule>
  </conditionalFormatting>
  <conditionalFormatting sqref="H44:H45 H18:H31 H34:H40">
    <cfRule type="cellIs" dxfId="131" priority="107" operator="lessThan">
      <formula>0</formula>
    </cfRule>
  </conditionalFormatting>
  <conditionalFormatting sqref="H44:H45 H18:H31 H34:H40">
    <cfRule type="cellIs" dxfId="130" priority="106" operator="greaterThanOrEqual">
      <formula>0</formula>
    </cfRule>
  </conditionalFormatting>
  <conditionalFormatting sqref="G18:G31">
    <cfRule type="cellIs" dxfId="129" priority="105" operator="equal">
      <formula>0</formula>
    </cfRule>
  </conditionalFormatting>
  <conditionalFormatting sqref="F34:F36 F38:F40 F18:F31">
    <cfRule type="cellIs" dxfId="128" priority="104" operator="lessThan">
      <formula>B18</formula>
    </cfRule>
  </conditionalFormatting>
  <conditionalFormatting sqref="G34:G36 G38:G40 F49:H55">
    <cfRule type="cellIs" dxfId="127" priority="101" operator="greaterThan">
      <formula>0</formula>
    </cfRule>
    <cfRule type="cellIs" dxfId="126" priority="102" operator="lessThanOrEqual">
      <formula>0</formula>
    </cfRule>
  </conditionalFormatting>
  <conditionalFormatting sqref="H34:H40">
    <cfRule type="cellIs" dxfId="125" priority="99" operator="greaterThanOrEqual">
      <formula>0</formula>
    </cfRule>
    <cfRule type="cellIs" dxfId="124" priority="100" operator="lessThan">
      <formula>0</formula>
    </cfRule>
  </conditionalFormatting>
  <conditionalFormatting sqref="F44:F45">
    <cfRule type="cellIs" dxfId="123" priority="97" operator="lessThan">
      <formula>B44</formula>
    </cfRule>
  </conditionalFormatting>
  <conditionalFormatting sqref="F44:F45">
    <cfRule type="cellIs" dxfId="122" priority="96" operator="greaterThanOrEqual">
      <formula>B44</formula>
    </cfRule>
  </conditionalFormatting>
  <conditionalFormatting sqref="G37 G44:G45">
    <cfRule type="cellIs" dxfId="121" priority="94" operator="equal">
      <formula>0</formula>
    </cfRule>
    <cfRule type="cellIs" dxfId="120" priority="95" operator="greaterThan">
      <formula>0</formula>
    </cfRule>
  </conditionalFormatting>
  <conditionalFormatting sqref="H44:H45">
    <cfRule type="cellIs" dxfId="119" priority="92" operator="lessThan">
      <formula>0</formula>
    </cfRule>
    <cfRule type="cellIs" dxfId="118" priority="93" operator="greaterThanOrEqual">
      <formula>0</formula>
    </cfRule>
  </conditionalFormatting>
  <conditionalFormatting sqref="F37">
    <cfRule type="cellIs" dxfId="117" priority="90" operator="greaterThanOrEqual">
      <formula>$B$37</formula>
    </cfRule>
    <cfRule type="cellIs" dxfId="116" priority="91" operator="lessThan">
      <formula>$B$37</formula>
    </cfRule>
  </conditionalFormatting>
  <conditionalFormatting sqref="S40 S34:S37 R34:R40">
    <cfRule type="cellIs" dxfId="115" priority="64" operator="greaterThanOrEqual">
      <formula>1</formula>
    </cfRule>
  </conditionalFormatting>
  <conditionalFormatting sqref="V18:V20 V25:V29 L47:L55 L43:L45 L18:L31 L33:L41">
    <cfRule type="containsText" dxfId="114" priority="66" operator="containsText" text="N">
      <formula>NOT(ISERROR(SEARCH("N",L18)))</formula>
    </cfRule>
    <cfRule type="containsText" dxfId="113" priority="67" operator="containsText" text="Y">
      <formula>NOT(ISERROR(SEARCH("Y",L18)))</formula>
    </cfRule>
    <cfRule type="containsText" dxfId="112" priority="78" operator="containsText" text="n">
      <formula>NOT(ISERROR(SEARCH("n",L18)))</formula>
    </cfRule>
    <cfRule type="containsText" dxfId="111" priority="79" operator="containsText" text="y">
      <formula>NOT(ISERROR(SEARCH("y",L18)))</formula>
    </cfRule>
  </conditionalFormatting>
  <conditionalFormatting sqref="J18">
    <cfRule type="cellIs" dxfId="110" priority="63" operator="between">
      <formula>1</formula>
      <formula>5</formula>
    </cfRule>
  </conditionalFormatting>
  <conditionalFormatting sqref="J43:K45 T18:U20 T25:U29 J33:K41 J18:K31 J48:K55">
    <cfRule type="cellIs" dxfId="109" priority="62" operator="between">
      <formula>1</formula>
      <formula>9</formula>
    </cfRule>
  </conditionalFormatting>
  <conditionalFormatting sqref="S25:S29">
    <cfRule type="cellIs" dxfId="108" priority="47" operator="greaterThan">
      <formula>0</formula>
    </cfRule>
    <cfRule type="cellIs" dxfId="107" priority="48" operator="lessThanOrEqual">
      <formula>0</formula>
    </cfRule>
  </conditionalFormatting>
  <conditionalFormatting sqref="R18:S20">
    <cfRule type="cellIs" dxfId="106" priority="46" operator="greaterThan">
      <formula>0</formula>
    </cfRule>
  </conditionalFormatting>
  <conditionalFormatting sqref="Q18:Q20">
    <cfRule type="cellIs" dxfId="105" priority="45" operator="greaterThan">
      <formula>0</formula>
    </cfRule>
  </conditionalFormatting>
  <conditionalFormatting sqref="E13 P13 J13">
    <cfRule type="cellIs" dxfId="104" priority="43" operator="greaterThan">
      <formula>-1</formula>
    </cfRule>
    <cfRule type="cellIs" dxfId="103" priority="44" operator="lessThan">
      <formula>0</formula>
    </cfRule>
  </conditionalFormatting>
  <conditionalFormatting sqref="S5">
    <cfRule type="iconSet" priority="24">
      <iconSet iconSet="3Symbols">
        <cfvo type="percent" val="0"/>
        <cfvo type="percent" val="33"/>
        <cfvo type="percent" val="67"/>
      </iconSet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>
    <pageSetUpPr fitToPage="1"/>
  </sheetPr>
  <dimension ref="A1:U54"/>
  <sheetViews>
    <sheetView showGridLines="0" topLeftCell="A13" workbookViewId="0">
      <selection activeCell="K25" sqref="K25:N29"/>
    </sheetView>
  </sheetViews>
  <sheetFormatPr defaultColWidth="9.140625" defaultRowHeight="12"/>
  <cols>
    <col min="1" max="1" width="9.42578125" style="353" customWidth="1"/>
    <col min="2" max="3" width="13.140625" style="353" customWidth="1"/>
    <col min="4" max="4" width="9.140625" style="353" customWidth="1"/>
    <col min="5" max="5" width="12.42578125" style="353" customWidth="1"/>
    <col min="6" max="6" width="13.42578125" style="353" customWidth="1"/>
    <col min="7" max="7" width="10" style="353" customWidth="1"/>
    <col min="8" max="8" width="9.5703125" style="353" customWidth="1"/>
    <col min="9" max="10" width="11" style="353" customWidth="1"/>
    <col min="11" max="11" width="9.85546875" style="353" customWidth="1"/>
    <col min="12" max="12" width="13.28515625" style="353" customWidth="1"/>
    <col min="13" max="13" width="15" style="353" customWidth="1"/>
    <col min="14" max="15" width="11.28515625" style="353" customWidth="1"/>
    <col min="16" max="16" width="12.42578125" style="353" customWidth="1"/>
    <col min="17" max="17" width="10.28515625" style="353" customWidth="1"/>
    <col min="18" max="18" width="9.7109375" style="353" customWidth="1"/>
    <col min="19" max="19" width="10" style="353" customWidth="1"/>
    <col min="20" max="20" width="8.7109375" style="353" customWidth="1"/>
    <col min="21" max="16384" width="9.140625" style="353"/>
  </cols>
  <sheetData>
    <row r="1" spans="1:21" ht="21" customHeight="1" thickBot="1">
      <c r="A1" s="387" t="s">
        <v>42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6"/>
      <c r="P1" s="346"/>
      <c r="Q1" s="346"/>
      <c r="R1" s="346"/>
      <c r="S1" s="346"/>
      <c r="T1" s="346"/>
      <c r="U1" s="228"/>
    </row>
    <row r="2" spans="1:21" ht="8.25" customHeight="1" thickBot="1">
      <c r="A2" s="603"/>
      <c r="B2" s="604"/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</row>
    <row r="3" spans="1:21" s="25" customFormat="1" ht="26.25" customHeight="1" thickBot="1">
      <c r="A3" s="98" t="s">
        <v>0</v>
      </c>
      <c r="B3" s="365">
        <v>43877</v>
      </c>
      <c r="C3" s="210"/>
      <c r="D3" s="20"/>
      <c r="E3" s="98" t="s">
        <v>1</v>
      </c>
      <c r="F3" s="605" t="s">
        <v>195</v>
      </c>
      <c r="G3" s="631"/>
      <c r="H3" s="21"/>
      <c r="I3" s="99" t="s">
        <v>51</v>
      </c>
      <c r="J3" s="605" t="s">
        <v>196</v>
      </c>
      <c r="K3" s="606"/>
      <c r="L3" s="22"/>
      <c r="M3" s="99" t="s">
        <v>2</v>
      </c>
      <c r="N3" s="367">
        <v>0.54166666666666663</v>
      </c>
      <c r="O3" s="22"/>
      <c r="P3" s="23"/>
      <c r="Q3" s="22"/>
      <c r="R3" s="350"/>
      <c r="S3" s="350"/>
      <c r="T3" s="22"/>
    </row>
    <row r="4" spans="1:21" ht="16.5" customHeight="1" thickBot="1">
      <c r="K4" s="345"/>
      <c r="L4" s="345"/>
      <c r="M4" s="345"/>
      <c r="N4" s="345"/>
      <c r="O4" s="345"/>
      <c r="P4" s="345"/>
      <c r="Q4" s="345"/>
      <c r="R4" s="17"/>
      <c r="S4" s="17"/>
      <c r="T4" s="345"/>
    </row>
    <row r="5" spans="1:21" ht="18" customHeight="1" thickBot="1">
      <c r="A5" s="632" t="s">
        <v>5</v>
      </c>
      <c r="B5" s="633"/>
      <c r="C5" s="633"/>
      <c r="D5" s="633"/>
      <c r="E5" s="633"/>
      <c r="F5" s="634"/>
      <c r="G5" s="228"/>
      <c r="H5" s="632" t="s">
        <v>7</v>
      </c>
      <c r="I5" s="633"/>
      <c r="J5" s="633"/>
      <c r="K5" s="634"/>
      <c r="M5" s="635" t="s">
        <v>13</v>
      </c>
      <c r="N5" s="447"/>
      <c r="O5" s="413"/>
      <c r="P5" s="68"/>
      <c r="S5" s="345"/>
    </row>
    <row r="6" spans="1:21" ht="17.25" customHeight="1">
      <c r="A6" s="612" t="s">
        <v>17</v>
      </c>
      <c r="B6" s="613"/>
      <c r="C6" s="613"/>
      <c r="D6" s="613"/>
      <c r="E6" s="613"/>
      <c r="F6" s="27">
        <f>'Sitrep 0830'!E6</f>
        <v>0</v>
      </c>
      <c r="G6" s="345"/>
      <c r="H6" s="612" t="s">
        <v>17</v>
      </c>
      <c r="I6" s="613"/>
      <c r="J6" s="613"/>
      <c r="K6" s="27">
        <f>'Sitrep 0830'!J6</f>
        <v>0</v>
      </c>
      <c r="M6" s="612" t="s">
        <v>17</v>
      </c>
      <c r="N6" s="636"/>
      <c r="O6" s="27">
        <f>F6+K6</f>
        <v>0</v>
      </c>
      <c r="S6" s="17"/>
    </row>
    <row r="7" spans="1:21" ht="12" customHeight="1">
      <c r="A7" s="614" t="s">
        <v>18</v>
      </c>
      <c r="B7" s="615"/>
      <c r="C7" s="615"/>
      <c r="D7" s="615"/>
      <c r="E7" s="615"/>
      <c r="F7" s="28">
        <f>'Sitrep 0830'!E7</f>
        <v>55</v>
      </c>
      <c r="G7" s="26"/>
      <c r="H7" s="351" t="s">
        <v>18</v>
      </c>
      <c r="I7" s="352"/>
      <c r="J7" s="352"/>
      <c r="K7" s="28">
        <f>'Sitrep 0830'!J7</f>
        <v>23</v>
      </c>
      <c r="M7" s="614" t="s">
        <v>14</v>
      </c>
      <c r="N7" s="630"/>
      <c r="O7" s="28">
        <f t="shared" ref="O7:O13" si="0">F7+K7</f>
        <v>78</v>
      </c>
      <c r="S7" s="345"/>
    </row>
    <row r="8" spans="1:21" ht="12" customHeight="1">
      <c r="A8" s="614" t="s">
        <v>19</v>
      </c>
      <c r="B8" s="615"/>
      <c r="C8" s="615"/>
      <c r="D8" s="615"/>
      <c r="E8" s="615"/>
      <c r="F8" s="29">
        <f>SUM(F6:F7)</f>
        <v>55</v>
      </c>
      <c r="G8" s="26"/>
      <c r="H8" s="581" t="s">
        <v>19</v>
      </c>
      <c r="I8" s="582"/>
      <c r="J8" s="582"/>
      <c r="K8" s="29">
        <f>SUM(K6:K7)</f>
        <v>23</v>
      </c>
      <c r="M8" s="614" t="s">
        <v>19</v>
      </c>
      <c r="N8" s="630"/>
      <c r="O8" s="29">
        <f t="shared" si="0"/>
        <v>78</v>
      </c>
      <c r="S8" s="345"/>
    </row>
    <row r="9" spans="1:21" ht="12" customHeight="1">
      <c r="A9" s="624" t="s">
        <v>4</v>
      </c>
      <c r="B9" s="625"/>
      <c r="C9" s="625"/>
      <c r="D9" s="625"/>
      <c r="E9" s="626"/>
      <c r="F9" s="343">
        <v>22</v>
      </c>
      <c r="G9" s="345"/>
      <c r="H9" s="627" t="s">
        <v>4</v>
      </c>
      <c r="I9" s="628"/>
      <c r="J9" s="629"/>
      <c r="K9" s="343">
        <v>8</v>
      </c>
      <c r="M9" s="614" t="s">
        <v>4</v>
      </c>
      <c r="N9" s="630"/>
      <c r="O9" s="87">
        <f t="shared" si="0"/>
        <v>30</v>
      </c>
      <c r="Q9" s="345"/>
      <c r="R9" s="345"/>
      <c r="S9" s="345"/>
    </row>
    <row r="10" spans="1:21" ht="12" customHeight="1">
      <c r="A10" s="614" t="s">
        <v>3</v>
      </c>
      <c r="B10" s="615"/>
      <c r="C10" s="615"/>
      <c r="D10" s="615"/>
      <c r="E10" s="615"/>
      <c r="F10" s="30">
        <f>F8-F9</f>
        <v>33</v>
      </c>
      <c r="G10" s="345"/>
      <c r="H10" s="581" t="s">
        <v>3</v>
      </c>
      <c r="I10" s="582"/>
      <c r="J10" s="582"/>
      <c r="K10" s="30">
        <f>K8-K9</f>
        <v>15</v>
      </c>
      <c r="M10" s="614" t="s">
        <v>3</v>
      </c>
      <c r="N10" s="630"/>
      <c r="O10" s="30">
        <f t="shared" si="0"/>
        <v>48</v>
      </c>
      <c r="Q10" s="345"/>
      <c r="R10" s="345"/>
      <c r="S10" s="345"/>
    </row>
    <row r="11" spans="1:21" ht="12.75">
      <c r="A11" s="624" t="s">
        <v>8</v>
      </c>
      <c r="B11" s="625"/>
      <c r="C11" s="625"/>
      <c r="D11" s="625"/>
      <c r="E11" s="626"/>
      <c r="F11" s="31">
        <f>D32</f>
        <v>3</v>
      </c>
      <c r="G11" s="345"/>
      <c r="H11" s="627" t="s">
        <v>8</v>
      </c>
      <c r="I11" s="628"/>
      <c r="J11" s="629"/>
      <c r="K11" s="31">
        <f>SUM(D34:D35,D38:D40,D44:D45,D37)</f>
        <v>7</v>
      </c>
      <c r="M11" s="614" t="s">
        <v>8</v>
      </c>
      <c r="N11" s="630"/>
      <c r="O11" s="31">
        <f t="shared" si="0"/>
        <v>10</v>
      </c>
      <c r="Q11" s="350" t="s">
        <v>6</v>
      </c>
      <c r="R11" s="350"/>
      <c r="S11" s="18"/>
    </row>
    <row r="12" spans="1:21" ht="12.75">
      <c r="A12" s="581" t="s">
        <v>26</v>
      </c>
      <c r="B12" s="582"/>
      <c r="C12" s="582"/>
      <c r="D12" s="582"/>
      <c r="E12" s="582"/>
      <c r="F12" s="32">
        <f>F32</f>
        <v>14</v>
      </c>
      <c r="G12" s="4"/>
      <c r="H12" s="581" t="s">
        <v>26</v>
      </c>
      <c r="I12" s="582"/>
      <c r="J12" s="582"/>
      <c r="K12" s="32">
        <f>SUM(F34:F35,F38:F40,F44:F45,F37)</f>
        <v>11</v>
      </c>
      <c r="M12" s="581" t="s">
        <v>26</v>
      </c>
      <c r="N12" s="630"/>
      <c r="O12" s="32">
        <f t="shared" si="0"/>
        <v>25</v>
      </c>
      <c r="Q12" s="350"/>
      <c r="R12" s="350"/>
      <c r="S12" s="18"/>
    </row>
    <row r="13" spans="1:21" ht="13.5" thickBot="1">
      <c r="A13" s="583" t="s">
        <v>12</v>
      </c>
      <c r="B13" s="584"/>
      <c r="C13" s="584"/>
      <c r="D13" s="584"/>
      <c r="E13" s="584"/>
      <c r="F13" s="33">
        <f>(F11+F12)-F10</f>
        <v>-16</v>
      </c>
      <c r="G13" s="4"/>
      <c r="H13" s="583" t="s">
        <v>12</v>
      </c>
      <c r="I13" s="584"/>
      <c r="J13" s="584"/>
      <c r="K13" s="33">
        <f>(K11+K12)-K10</f>
        <v>3</v>
      </c>
      <c r="M13" s="583" t="s">
        <v>12</v>
      </c>
      <c r="N13" s="637"/>
      <c r="O13" s="33">
        <f t="shared" si="0"/>
        <v>-13</v>
      </c>
      <c r="P13" s="228"/>
      <c r="Q13" s="350"/>
      <c r="R13" s="350"/>
      <c r="S13" s="345"/>
    </row>
    <row r="14" spans="1:21">
      <c r="P14" s="228"/>
      <c r="Q14" s="345"/>
      <c r="R14" s="345"/>
      <c r="S14" s="345"/>
    </row>
    <row r="15" spans="1:21" ht="12.75" thickBot="1">
      <c r="I15" s="228"/>
      <c r="J15" s="228"/>
      <c r="K15" s="228"/>
      <c r="L15" s="228"/>
      <c r="M15" s="228"/>
      <c r="N15" s="228"/>
      <c r="O15" s="345"/>
      <c r="P15" s="228"/>
      <c r="Q15" s="345"/>
      <c r="R15" s="345"/>
      <c r="S15" s="228"/>
      <c r="T15" s="228"/>
      <c r="U15" s="228"/>
    </row>
    <row r="16" spans="1:21" ht="13.5" customHeight="1" thickBot="1">
      <c r="A16" s="387" t="s">
        <v>32</v>
      </c>
      <c r="B16" s="638"/>
      <c r="C16" s="638"/>
      <c r="D16" s="638"/>
      <c r="E16" s="638"/>
      <c r="F16" s="638"/>
      <c r="G16" s="638"/>
      <c r="H16" s="639"/>
      <c r="I16" s="62"/>
      <c r="J16" s="387" t="s">
        <v>185</v>
      </c>
      <c r="K16" s="580"/>
      <c r="L16" s="580"/>
      <c r="M16" s="580"/>
      <c r="N16" s="580"/>
      <c r="O16" s="580"/>
      <c r="P16" s="388"/>
      <c r="Q16" s="60"/>
      <c r="R16" s="18"/>
      <c r="S16" s="346"/>
      <c r="T16" s="346"/>
      <c r="U16" s="228"/>
    </row>
    <row r="17" spans="1:20" ht="69.75" customHeight="1" thickBot="1">
      <c r="A17" s="54" t="s">
        <v>9</v>
      </c>
      <c r="B17" s="50" t="s">
        <v>47</v>
      </c>
      <c r="C17" s="207" t="s">
        <v>116</v>
      </c>
      <c r="D17" s="55" t="s">
        <v>31</v>
      </c>
      <c r="E17" s="49" t="s">
        <v>70</v>
      </c>
      <c r="F17" s="55" t="s">
        <v>112</v>
      </c>
      <c r="G17" s="49" t="s">
        <v>63</v>
      </c>
      <c r="H17" s="349" t="s">
        <v>24</v>
      </c>
      <c r="I17" s="345"/>
      <c r="J17" s="67" t="s">
        <v>37</v>
      </c>
      <c r="K17" s="67" t="s">
        <v>38</v>
      </c>
      <c r="L17" s="67" t="s">
        <v>39</v>
      </c>
      <c r="M17" s="67" t="s">
        <v>46</v>
      </c>
      <c r="N17" s="67" t="s">
        <v>40</v>
      </c>
      <c r="O17" s="67" t="s">
        <v>41</v>
      </c>
      <c r="P17" s="67" t="s">
        <v>187</v>
      </c>
      <c r="Q17" s="1"/>
      <c r="R17" s="345"/>
    </row>
    <row r="18" spans="1:20" ht="13.5" customHeight="1">
      <c r="A18" s="35" t="s">
        <v>10</v>
      </c>
      <c r="B18" s="51">
        <v>22</v>
      </c>
      <c r="C18" s="211"/>
      <c r="D18" s="357">
        <v>0</v>
      </c>
      <c r="E18" s="357">
        <v>3</v>
      </c>
      <c r="F18" s="357">
        <v>7</v>
      </c>
      <c r="G18" s="357">
        <v>1</v>
      </c>
      <c r="H18" s="45">
        <f>(F18+G18)-(B18+E18)</f>
        <v>-17</v>
      </c>
      <c r="I18" s="345"/>
      <c r="J18" s="645">
        <v>25</v>
      </c>
      <c r="K18" s="588" t="s">
        <v>199</v>
      </c>
      <c r="L18" s="588" t="s">
        <v>198</v>
      </c>
      <c r="M18" s="588">
        <v>3</v>
      </c>
      <c r="N18" s="588">
        <v>4</v>
      </c>
      <c r="O18" s="593">
        <v>7</v>
      </c>
      <c r="P18" s="451">
        <v>77</v>
      </c>
      <c r="Q18" s="345"/>
      <c r="R18" s="345"/>
    </row>
    <row r="19" spans="1:20">
      <c r="A19" s="36">
        <v>13</v>
      </c>
      <c r="B19" s="52">
        <v>5</v>
      </c>
      <c r="C19" s="212"/>
      <c r="D19" s="355">
        <v>0</v>
      </c>
      <c r="E19" s="355"/>
      <c r="F19" s="355">
        <v>0</v>
      </c>
      <c r="G19" s="355">
        <v>0</v>
      </c>
      <c r="H19" s="46">
        <f t="shared" ref="H19:H31" si="1">(F19+G19)-(B19+E19)</f>
        <v>-5</v>
      </c>
      <c r="I19" s="345"/>
      <c r="J19" s="646"/>
      <c r="K19" s="648"/>
      <c r="L19" s="648"/>
      <c r="M19" s="648"/>
      <c r="N19" s="648"/>
      <c r="O19" s="594"/>
      <c r="P19" s="640"/>
      <c r="Q19" s="345"/>
      <c r="R19" s="345" t="s">
        <v>6</v>
      </c>
    </row>
    <row r="20" spans="1:20" ht="12.75" customHeight="1" thickBot="1">
      <c r="A20" s="36">
        <v>9</v>
      </c>
      <c r="B20" s="52">
        <v>1</v>
      </c>
      <c r="C20" s="212"/>
      <c r="D20" s="355">
        <v>0</v>
      </c>
      <c r="E20" s="355"/>
      <c r="F20" s="355">
        <v>0</v>
      </c>
      <c r="G20" s="355">
        <v>0</v>
      </c>
      <c r="H20" s="46">
        <f t="shared" si="1"/>
        <v>-1</v>
      </c>
      <c r="I20" s="345"/>
      <c r="J20" s="647"/>
      <c r="K20" s="649"/>
      <c r="L20" s="649"/>
      <c r="M20" s="649"/>
      <c r="N20" s="649"/>
      <c r="O20" s="595"/>
      <c r="P20" s="641"/>
      <c r="Q20" s="345"/>
      <c r="R20" s="345" t="s">
        <v>6</v>
      </c>
      <c r="T20" s="353" t="s">
        <v>6</v>
      </c>
    </row>
    <row r="21" spans="1:20" ht="13.5" thickBot="1">
      <c r="A21" s="36">
        <v>22</v>
      </c>
      <c r="B21" s="52">
        <v>3</v>
      </c>
      <c r="C21" s="217"/>
      <c r="D21" s="355">
        <v>0</v>
      </c>
      <c r="E21" s="355"/>
      <c r="F21" s="355">
        <v>0</v>
      </c>
      <c r="G21" s="355">
        <v>1</v>
      </c>
      <c r="H21" s="46">
        <f t="shared" si="1"/>
        <v>-2</v>
      </c>
      <c r="I21" s="345"/>
      <c r="J21" s="642" t="s">
        <v>36</v>
      </c>
      <c r="K21" s="643"/>
      <c r="L21" s="643"/>
      <c r="M21" s="643"/>
      <c r="N21" s="643"/>
      <c r="O21" s="644"/>
      <c r="P21" s="346"/>
      <c r="Q21" s="346"/>
    </row>
    <row r="22" spans="1:20" ht="12" customHeight="1">
      <c r="A22" s="36" t="s">
        <v>21</v>
      </c>
      <c r="B22" s="52">
        <v>10</v>
      </c>
      <c r="C22" s="217"/>
      <c r="D22" s="355">
        <v>0</v>
      </c>
      <c r="E22" s="355"/>
      <c r="F22" s="355">
        <v>3</v>
      </c>
      <c r="G22" s="355">
        <v>0</v>
      </c>
      <c r="H22" s="46">
        <f t="shared" si="1"/>
        <v>-7</v>
      </c>
      <c r="I22" s="345"/>
      <c r="J22" s="347" t="s">
        <v>36</v>
      </c>
      <c r="K22" s="382" t="s">
        <v>31</v>
      </c>
      <c r="L22" s="382" t="s">
        <v>44</v>
      </c>
      <c r="M22" s="382" t="s">
        <v>67</v>
      </c>
      <c r="N22" s="382" t="s">
        <v>35</v>
      </c>
      <c r="O22" s="380" t="s">
        <v>24</v>
      </c>
      <c r="Q22" s="345"/>
    </row>
    <row r="23" spans="1:20" ht="12" customHeight="1">
      <c r="A23" s="36">
        <v>32</v>
      </c>
      <c r="B23" s="52">
        <v>3</v>
      </c>
      <c r="C23" s="217"/>
      <c r="D23" s="355">
        <v>1</v>
      </c>
      <c r="E23" s="355"/>
      <c r="F23" s="355">
        <v>0</v>
      </c>
      <c r="G23" s="355">
        <v>0</v>
      </c>
      <c r="H23" s="46">
        <f t="shared" si="1"/>
        <v>-3</v>
      </c>
      <c r="I23" s="345"/>
      <c r="J23" s="354"/>
      <c r="K23" s="381"/>
      <c r="L23" s="381"/>
      <c r="M23" s="381"/>
      <c r="N23" s="381"/>
      <c r="O23" s="381"/>
      <c r="Q23" s="345"/>
    </row>
    <row r="24" spans="1:20" ht="12" customHeight="1" thickBot="1">
      <c r="A24" s="36">
        <v>33</v>
      </c>
      <c r="B24" s="52">
        <v>1</v>
      </c>
      <c r="C24" s="217"/>
      <c r="D24" s="355">
        <v>0</v>
      </c>
      <c r="E24" s="355"/>
      <c r="F24" s="355">
        <v>0</v>
      </c>
      <c r="G24" s="355">
        <v>0</v>
      </c>
      <c r="H24" s="46">
        <f t="shared" si="1"/>
        <v>-1</v>
      </c>
      <c r="I24" s="345"/>
      <c r="J24" s="354"/>
      <c r="K24" s="381"/>
      <c r="L24" s="381"/>
      <c r="M24" s="381"/>
      <c r="N24" s="381"/>
      <c r="O24" s="381"/>
      <c r="Q24" s="345"/>
    </row>
    <row r="25" spans="1:20">
      <c r="A25" s="36">
        <v>34</v>
      </c>
      <c r="B25" s="52">
        <v>3</v>
      </c>
      <c r="C25" s="217"/>
      <c r="D25" s="355">
        <v>0</v>
      </c>
      <c r="E25" s="355"/>
      <c r="F25" s="355">
        <v>1</v>
      </c>
      <c r="G25" s="355">
        <v>0</v>
      </c>
      <c r="H25" s="46">
        <f t="shared" si="1"/>
        <v>-2</v>
      </c>
      <c r="I25" s="345"/>
      <c r="J25" s="348" t="s">
        <v>84</v>
      </c>
      <c r="K25" s="146">
        <v>3</v>
      </c>
      <c r="L25" s="146">
        <v>0</v>
      </c>
      <c r="M25" s="146">
        <v>0</v>
      </c>
      <c r="N25" s="146">
        <v>0</v>
      </c>
      <c r="O25" s="45">
        <f>(K25+N25)-M25</f>
        <v>3</v>
      </c>
      <c r="Q25" s="345"/>
    </row>
    <row r="26" spans="1:20" ht="12" customHeight="1">
      <c r="A26" s="36">
        <v>41</v>
      </c>
      <c r="B26" s="52">
        <v>3</v>
      </c>
      <c r="C26" s="217"/>
      <c r="D26" s="355">
        <v>0</v>
      </c>
      <c r="E26" s="355"/>
      <c r="F26" s="355">
        <v>0</v>
      </c>
      <c r="G26" s="355">
        <v>0</v>
      </c>
      <c r="H26" s="46">
        <f t="shared" si="1"/>
        <v>-3</v>
      </c>
      <c r="I26" s="345"/>
      <c r="J26" s="342" t="s">
        <v>30</v>
      </c>
      <c r="K26" s="356">
        <v>2</v>
      </c>
      <c r="L26" s="356">
        <v>0</v>
      </c>
      <c r="M26" s="356">
        <v>0</v>
      </c>
      <c r="N26" s="356">
        <v>0</v>
      </c>
      <c r="O26" s="46">
        <f t="shared" ref="O26:O29" si="2">(K26+N26)-M26</f>
        <v>2</v>
      </c>
      <c r="Q26" s="345"/>
    </row>
    <row r="27" spans="1:20" ht="12" customHeight="1">
      <c r="A27" s="36">
        <v>42</v>
      </c>
      <c r="B27" s="52">
        <v>3</v>
      </c>
      <c r="C27" s="217"/>
      <c r="D27" s="355">
        <v>0</v>
      </c>
      <c r="E27" s="355"/>
      <c r="F27" s="355">
        <v>0</v>
      </c>
      <c r="G27" s="355">
        <v>0</v>
      </c>
      <c r="H27" s="46">
        <f t="shared" si="1"/>
        <v>-3</v>
      </c>
      <c r="I27" s="345"/>
      <c r="J27" s="342" t="s">
        <v>29</v>
      </c>
      <c r="K27" s="356">
        <v>2</v>
      </c>
      <c r="L27" s="356">
        <v>0</v>
      </c>
      <c r="M27" s="356">
        <v>0</v>
      </c>
      <c r="N27" s="356">
        <v>0</v>
      </c>
      <c r="O27" s="46">
        <f t="shared" si="2"/>
        <v>2</v>
      </c>
      <c r="Q27" s="345"/>
    </row>
    <row r="28" spans="1:20" ht="12.75" customHeight="1">
      <c r="A28" s="36">
        <v>43</v>
      </c>
      <c r="B28" s="52">
        <v>5</v>
      </c>
      <c r="C28" s="217"/>
      <c r="D28" s="355">
        <v>1</v>
      </c>
      <c r="E28" s="355"/>
      <c r="F28" s="370">
        <v>2</v>
      </c>
      <c r="G28" s="355">
        <v>1</v>
      </c>
      <c r="H28" s="46">
        <f t="shared" si="1"/>
        <v>-2</v>
      </c>
      <c r="I28" s="345"/>
      <c r="J28" s="342" t="s">
        <v>27</v>
      </c>
      <c r="K28" s="356">
        <v>0</v>
      </c>
      <c r="L28" s="356">
        <v>0</v>
      </c>
      <c r="M28" s="356">
        <v>0</v>
      </c>
      <c r="N28" s="356">
        <v>0</v>
      </c>
      <c r="O28" s="46">
        <f t="shared" si="2"/>
        <v>0</v>
      </c>
      <c r="Q28" s="345"/>
    </row>
    <row r="29" spans="1:20" ht="12.75" thickBot="1">
      <c r="A29" s="36">
        <v>44</v>
      </c>
      <c r="B29" s="52">
        <v>5</v>
      </c>
      <c r="C29" s="217"/>
      <c r="D29" s="355">
        <v>1</v>
      </c>
      <c r="E29" s="355"/>
      <c r="F29" s="355">
        <v>1</v>
      </c>
      <c r="G29" s="355">
        <v>1</v>
      </c>
      <c r="H29" s="46">
        <f t="shared" si="1"/>
        <v>-3</v>
      </c>
      <c r="I29" s="345"/>
      <c r="J29" s="344" t="s">
        <v>28</v>
      </c>
      <c r="K29" s="105">
        <v>0</v>
      </c>
      <c r="L29" s="105">
        <v>0</v>
      </c>
      <c r="M29" s="105">
        <v>0</v>
      </c>
      <c r="N29" s="105">
        <v>1</v>
      </c>
      <c r="O29" s="41">
        <f t="shared" si="2"/>
        <v>1</v>
      </c>
      <c r="Q29" s="345"/>
    </row>
    <row r="30" spans="1:20" ht="12.75" thickBot="1">
      <c r="A30" s="129">
        <v>51</v>
      </c>
      <c r="B30" s="130">
        <v>3</v>
      </c>
      <c r="C30" s="244"/>
      <c r="D30" s="131">
        <v>0</v>
      </c>
      <c r="E30" s="131"/>
      <c r="F30" s="131">
        <v>0</v>
      </c>
      <c r="G30" s="131">
        <v>0</v>
      </c>
      <c r="H30" s="46">
        <f t="shared" si="1"/>
        <v>-3</v>
      </c>
      <c r="I30" s="345"/>
      <c r="Q30" s="345"/>
    </row>
    <row r="31" spans="1:20" ht="13.5" thickBot="1">
      <c r="A31" s="7">
        <v>54</v>
      </c>
      <c r="B31" s="53">
        <v>1</v>
      </c>
      <c r="C31" s="218"/>
      <c r="D31" s="358">
        <v>0</v>
      </c>
      <c r="E31" s="358"/>
      <c r="F31" s="245">
        <v>0</v>
      </c>
      <c r="G31" s="245">
        <v>0</v>
      </c>
      <c r="H31" s="46">
        <f t="shared" si="1"/>
        <v>-1</v>
      </c>
      <c r="I31" s="345"/>
      <c r="J31" s="448" t="s">
        <v>69</v>
      </c>
      <c r="K31" s="449"/>
      <c r="L31" s="449"/>
      <c r="M31" s="449"/>
      <c r="N31" s="450"/>
      <c r="O31" s="69"/>
      <c r="P31" s="17"/>
      <c r="Q31" s="345"/>
    </row>
    <row r="32" spans="1:20" ht="12" customHeight="1" thickBot="1">
      <c r="A32" s="40" t="s">
        <v>22</v>
      </c>
      <c r="B32" s="12">
        <f>SUM(B18:B31)</f>
        <v>68</v>
      </c>
      <c r="C32" s="12"/>
      <c r="D32" s="13">
        <f>SUM(D18:D30)</f>
        <v>3</v>
      </c>
      <c r="E32" s="13">
        <f>SUM(E18:E30)</f>
        <v>3</v>
      </c>
      <c r="F32" s="14">
        <f>SUM(F18:F30)</f>
        <v>14</v>
      </c>
      <c r="G32" s="14">
        <f>SUM(G18:G30)</f>
        <v>4</v>
      </c>
      <c r="H32" s="14">
        <f>SUM(H18:H31)</f>
        <v>-53</v>
      </c>
      <c r="I32" s="345"/>
      <c r="J32" s="382" t="s">
        <v>9</v>
      </c>
      <c r="K32" s="439" t="s">
        <v>15</v>
      </c>
      <c r="L32" s="650"/>
      <c r="M32" s="576" t="s">
        <v>33</v>
      </c>
      <c r="N32" s="650"/>
      <c r="O32" s="18"/>
      <c r="P32" s="345"/>
      <c r="Q32" s="345"/>
    </row>
    <row r="33" spans="1:17" ht="13.5" thickBot="1">
      <c r="A33" s="43"/>
      <c r="B33" s="228"/>
      <c r="C33" s="228"/>
      <c r="D33" s="345"/>
      <c r="E33" s="345"/>
      <c r="F33" s="6"/>
      <c r="G33" s="345"/>
      <c r="H33" s="11"/>
      <c r="I33" s="345"/>
      <c r="J33" s="561"/>
      <c r="K33" s="651"/>
      <c r="L33" s="652"/>
      <c r="M33" s="651"/>
      <c r="N33" s="652"/>
      <c r="O33" s="18"/>
      <c r="P33" s="18"/>
      <c r="Q33" s="345"/>
    </row>
    <row r="34" spans="1:17" ht="12.75">
      <c r="A34" s="35" t="s">
        <v>11</v>
      </c>
      <c r="B34" s="51">
        <v>8</v>
      </c>
      <c r="C34" s="219"/>
      <c r="D34" s="357">
        <v>3</v>
      </c>
      <c r="E34" s="357">
        <v>1</v>
      </c>
      <c r="F34" s="357">
        <v>0</v>
      </c>
      <c r="G34" s="357">
        <v>2</v>
      </c>
      <c r="H34" s="45">
        <f>(F34+G34)-(B34+E34)</f>
        <v>-7</v>
      </c>
      <c r="I34" s="345"/>
      <c r="J34" s="110" t="s">
        <v>182</v>
      </c>
      <c r="K34" s="531">
        <v>10</v>
      </c>
      <c r="L34" s="473"/>
      <c r="M34" s="531" t="s">
        <v>200</v>
      </c>
      <c r="N34" s="474"/>
      <c r="O34" s="70"/>
      <c r="P34" s="345"/>
      <c r="Q34" s="345"/>
    </row>
    <row r="35" spans="1:17" ht="12.75">
      <c r="A35" s="36" t="s">
        <v>16</v>
      </c>
      <c r="B35" s="52">
        <v>6</v>
      </c>
      <c r="C35" s="217"/>
      <c r="D35" s="355">
        <v>0</v>
      </c>
      <c r="E35" s="355"/>
      <c r="F35" s="355">
        <v>2</v>
      </c>
      <c r="G35" s="355">
        <v>0</v>
      </c>
      <c r="H35" s="46">
        <f t="shared" ref="H35:H40" si="3">(F35+G35)-(B35+E35)</f>
        <v>-4</v>
      </c>
      <c r="I35" s="345"/>
      <c r="J35" s="111">
        <v>13</v>
      </c>
      <c r="K35" s="548">
        <v>14</v>
      </c>
      <c r="L35" s="476"/>
      <c r="M35" s="548">
        <v>14</v>
      </c>
      <c r="N35" s="477"/>
      <c r="O35" s="17"/>
      <c r="P35" s="345"/>
      <c r="Q35" s="345"/>
    </row>
    <row r="36" spans="1:17" ht="12.75">
      <c r="A36" s="36">
        <v>10</v>
      </c>
      <c r="B36" s="130">
        <v>4</v>
      </c>
      <c r="C36" s="217"/>
      <c r="D36" s="359">
        <v>6</v>
      </c>
      <c r="E36" s="355"/>
      <c r="F36" s="355">
        <v>1</v>
      </c>
      <c r="G36" s="355">
        <v>0</v>
      </c>
      <c r="H36" s="46">
        <f t="shared" si="3"/>
        <v>-3</v>
      </c>
      <c r="I36" s="345"/>
      <c r="J36" s="111">
        <v>4</v>
      </c>
      <c r="K36" s="548">
        <v>0</v>
      </c>
      <c r="L36" s="476"/>
      <c r="M36" s="549">
        <v>12</v>
      </c>
      <c r="N36" s="477"/>
      <c r="O36" s="17"/>
      <c r="P36" s="345"/>
      <c r="Q36" s="345"/>
    </row>
    <row r="37" spans="1:17" ht="12.75">
      <c r="A37" s="36">
        <v>9</v>
      </c>
      <c r="B37" s="52">
        <v>4</v>
      </c>
      <c r="C37" s="217"/>
      <c r="D37" s="355">
        <v>2</v>
      </c>
      <c r="E37" s="355"/>
      <c r="F37" s="355">
        <v>3</v>
      </c>
      <c r="G37" s="355">
        <v>0</v>
      </c>
      <c r="H37" s="46">
        <f>(F37+G37)-(B37+E37)</f>
        <v>-1</v>
      </c>
      <c r="I37" s="345"/>
      <c r="J37" s="111" t="s">
        <v>197</v>
      </c>
      <c r="K37" s="548">
        <v>0</v>
      </c>
      <c r="L37" s="476"/>
      <c r="M37" s="549">
        <v>6</v>
      </c>
      <c r="N37" s="653"/>
      <c r="O37" s="17"/>
      <c r="P37" s="345"/>
      <c r="Q37" s="345"/>
    </row>
    <row r="38" spans="1:17" ht="13.5" customHeight="1">
      <c r="A38" s="36">
        <v>52</v>
      </c>
      <c r="B38" s="198">
        <v>6</v>
      </c>
      <c r="C38" s="217"/>
      <c r="D38" s="355">
        <v>0</v>
      </c>
      <c r="E38" s="355"/>
      <c r="F38" s="355">
        <v>1</v>
      </c>
      <c r="G38" s="355">
        <v>0</v>
      </c>
      <c r="H38" s="46">
        <f t="shared" si="3"/>
        <v>-5</v>
      </c>
      <c r="I38" s="345"/>
      <c r="J38" s="111"/>
      <c r="K38" s="548"/>
      <c r="L38" s="548"/>
      <c r="M38" s="548"/>
      <c r="N38" s="654"/>
      <c r="O38" s="17"/>
      <c r="P38" s="345"/>
      <c r="Q38" s="345"/>
    </row>
    <row r="39" spans="1:17" ht="13.5" customHeight="1">
      <c r="A39" s="36">
        <v>53</v>
      </c>
      <c r="B39" s="52">
        <v>6</v>
      </c>
      <c r="C39" s="217"/>
      <c r="D39" s="355">
        <v>0</v>
      </c>
      <c r="E39" s="355"/>
      <c r="F39" s="355">
        <v>2</v>
      </c>
      <c r="G39" s="355">
        <v>0</v>
      </c>
      <c r="H39" s="46">
        <f t="shared" si="3"/>
        <v>-4</v>
      </c>
      <c r="I39" s="345"/>
      <c r="J39" s="111"/>
      <c r="K39" s="548"/>
      <c r="L39" s="548"/>
      <c r="M39" s="548"/>
      <c r="N39" s="654"/>
      <c r="O39" s="17"/>
      <c r="P39" s="345"/>
      <c r="Q39" s="345"/>
    </row>
    <row r="40" spans="1:17" ht="13.5" thickBot="1">
      <c r="A40" s="36">
        <v>54</v>
      </c>
      <c r="B40" s="53">
        <v>6</v>
      </c>
      <c r="C40" s="217"/>
      <c r="D40" s="355">
        <v>0</v>
      </c>
      <c r="E40" s="355"/>
      <c r="F40" s="355">
        <v>3</v>
      </c>
      <c r="G40" s="355">
        <v>0</v>
      </c>
      <c r="H40" s="46">
        <f t="shared" si="3"/>
        <v>-3</v>
      </c>
      <c r="I40" s="345"/>
      <c r="J40" s="225"/>
      <c r="K40" s="464"/>
      <c r="L40" s="655"/>
      <c r="M40" s="656"/>
      <c r="N40" s="657"/>
      <c r="O40" s="17"/>
      <c r="P40" s="345"/>
      <c r="Q40" s="345"/>
    </row>
    <row r="41" spans="1:17" ht="12.75" thickBot="1">
      <c r="A41" s="7" t="s">
        <v>71</v>
      </c>
      <c r="B41" s="202"/>
      <c r="C41" s="202"/>
      <c r="D41" s="202"/>
      <c r="E41" s="358"/>
      <c r="F41" s="202"/>
      <c r="G41" s="202"/>
      <c r="H41" s="203"/>
      <c r="I41" s="345"/>
      <c r="J41" s="534" t="s">
        <v>109</v>
      </c>
      <c r="K41" s="535"/>
      <c r="L41" s="538" t="s">
        <v>110</v>
      </c>
      <c r="M41" s="540" t="s">
        <v>20</v>
      </c>
      <c r="N41" s="532" t="s">
        <v>111</v>
      </c>
      <c r="O41" s="17"/>
      <c r="P41" s="345"/>
    </row>
    <row r="42" spans="1:17" ht="12.75" thickBot="1">
      <c r="A42" s="40" t="s">
        <v>22</v>
      </c>
      <c r="B42" s="12">
        <f>SUM(B34:B40)</f>
        <v>40</v>
      </c>
      <c r="C42" s="12"/>
      <c r="D42" s="13">
        <f>SUM(D34:D40)</f>
        <v>11</v>
      </c>
      <c r="E42" s="13">
        <f>SUM(E34:E41)</f>
        <v>1</v>
      </c>
      <c r="F42" s="13">
        <f>SUM(F34:F40)</f>
        <v>12</v>
      </c>
      <c r="G42" s="13">
        <f>SUM(G34:G40)</f>
        <v>2</v>
      </c>
      <c r="H42" s="14">
        <f>SUM(H34:H40)</f>
        <v>-27</v>
      </c>
      <c r="I42" s="345"/>
      <c r="J42" s="536"/>
      <c r="K42" s="537"/>
      <c r="L42" s="539"/>
      <c r="M42" s="541"/>
      <c r="N42" s="533"/>
      <c r="O42" s="17"/>
      <c r="P42" s="345"/>
    </row>
    <row r="43" spans="1:17" ht="12.75" thickBot="1">
      <c r="A43" s="43"/>
      <c r="B43" s="228"/>
      <c r="C43" s="228"/>
      <c r="D43" s="345"/>
      <c r="E43" s="345"/>
      <c r="F43" s="6"/>
      <c r="G43" s="345"/>
      <c r="H43" s="11"/>
      <c r="I43" s="345"/>
      <c r="J43" s="555" t="s">
        <v>108</v>
      </c>
      <c r="K43" s="556"/>
      <c r="L43" s="556"/>
      <c r="M43" s="556"/>
      <c r="N43" s="557"/>
      <c r="O43" s="17"/>
      <c r="P43" s="345"/>
    </row>
    <row r="44" spans="1:17" ht="12.75" customHeight="1">
      <c r="A44" s="35">
        <v>31</v>
      </c>
      <c r="B44" s="51">
        <v>4</v>
      </c>
      <c r="C44" s="219"/>
      <c r="D44" s="357">
        <v>0</v>
      </c>
      <c r="E44" s="357"/>
      <c r="F44" s="357">
        <v>0</v>
      </c>
      <c r="G44" s="357">
        <v>0</v>
      </c>
      <c r="H44" s="45">
        <f>(F44+G44)-(B44+E44)</f>
        <v>-4</v>
      </c>
      <c r="I44" s="345"/>
      <c r="J44" s="616">
        <v>10</v>
      </c>
      <c r="K44" s="617"/>
      <c r="L44" s="620">
        <v>6</v>
      </c>
      <c r="M44" s="620">
        <v>3</v>
      </c>
      <c r="N44" s="622">
        <v>1</v>
      </c>
    </row>
    <row r="45" spans="1:17" ht="13.5" customHeight="1" thickBot="1">
      <c r="A45" s="7">
        <v>33</v>
      </c>
      <c r="B45" s="53">
        <v>4</v>
      </c>
      <c r="C45" s="218"/>
      <c r="D45" s="358">
        <v>2</v>
      </c>
      <c r="E45" s="358"/>
      <c r="F45" s="358">
        <v>0</v>
      </c>
      <c r="G45" s="358">
        <v>0</v>
      </c>
      <c r="H45" s="41">
        <f>(F45+G45)-(B45+E45)</f>
        <v>-4</v>
      </c>
      <c r="I45" s="345"/>
      <c r="J45" s="618"/>
      <c r="K45" s="619"/>
      <c r="L45" s="621"/>
      <c r="M45" s="621"/>
      <c r="N45" s="623"/>
      <c r="O45" s="353" t="s">
        <v>6</v>
      </c>
    </row>
    <row r="46" spans="1:17" ht="15.75" customHeight="1" thickBot="1">
      <c r="A46" s="135" t="s">
        <v>22</v>
      </c>
      <c r="B46" s="136">
        <f t="shared" ref="B46:H46" si="4">SUM(B44:B45)</f>
        <v>8</v>
      </c>
      <c r="C46" s="136"/>
      <c r="D46" s="137">
        <f t="shared" si="4"/>
        <v>2</v>
      </c>
      <c r="E46" s="137">
        <f t="shared" si="4"/>
        <v>0</v>
      </c>
      <c r="F46" s="138">
        <f t="shared" si="4"/>
        <v>0</v>
      </c>
      <c r="G46" s="138">
        <f t="shared" si="4"/>
        <v>0</v>
      </c>
      <c r="H46" s="138">
        <f t="shared" si="4"/>
        <v>-8</v>
      </c>
      <c r="J46" s="658" t="s">
        <v>118</v>
      </c>
      <c r="K46" s="659"/>
      <c r="L46" s="659"/>
      <c r="M46" s="659"/>
      <c r="N46" s="660"/>
    </row>
    <row r="47" spans="1:17" ht="15.75" customHeight="1">
      <c r="D47" s="4"/>
      <c r="E47" s="4"/>
      <c r="F47" s="4"/>
      <c r="G47" s="4"/>
      <c r="H47" s="11"/>
      <c r="J47" s="661">
        <v>0</v>
      </c>
      <c r="K47" s="662"/>
      <c r="L47" s="665"/>
      <c r="M47" s="665"/>
      <c r="N47" s="667"/>
    </row>
    <row r="48" spans="1:17" ht="12.75" thickBot="1">
      <c r="J48" s="663"/>
      <c r="K48" s="664"/>
      <c r="L48" s="666"/>
      <c r="M48" s="666"/>
      <c r="N48" s="668"/>
    </row>
    <row r="49" spans="7:14">
      <c r="J49" s="345"/>
    </row>
    <row r="50" spans="7:14">
      <c r="L50" s="353" t="s">
        <v>6</v>
      </c>
      <c r="N50" s="353" t="s">
        <v>6</v>
      </c>
    </row>
    <row r="52" spans="7:14">
      <c r="J52" s="353" t="s">
        <v>6</v>
      </c>
    </row>
    <row r="54" spans="7:14">
      <c r="G54" s="353" t="s">
        <v>119</v>
      </c>
    </row>
  </sheetData>
  <sheetProtection password="9D31" sheet="1" objects="1" scenarios="1" selectLockedCells="1"/>
  <mergeCells count="77">
    <mergeCell ref="J46:N46"/>
    <mergeCell ref="J47:K48"/>
    <mergeCell ref="L47:L48"/>
    <mergeCell ref="M47:M48"/>
    <mergeCell ref="N47:N48"/>
    <mergeCell ref="J44:K45"/>
    <mergeCell ref="L44:L45"/>
    <mergeCell ref="M44:M45"/>
    <mergeCell ref="N44:N45"/>
    <mergeCell ref="K38:L38"/>
    <mergeCell ref="M38:N38"/>
    <mergeCell ref="K39:L39"/>
    <mergeCell ref="M39:N39"/>
    <mergeCell ref="K40:L40"/>
    <mergeCell ref="M40:N40"/>
    <mergeCell ref="J41:K42"/>
    <mergeCell ref="L41:L42"/>
    <mergeCell ref="M41:M42"/>
    <mergeCell ref="N41:N42"/>
    <mergeCell ref="J43:N43"/>
    <mergeCell ref="K35:L35"/>
    <mergeCell ref="M35:N35"/>
    <mergeCell ref="K36:L36"/>
    <mergeCell ref="M36:N36"/>
    <mergeCell ref="K37:L37"/>
    <mergeCell ref="M37:N37"/>
    <mergeCell ref="J31:N31"/>
    <mergeCell ref="J32:J33"/>
    <mergeCell ref="K32:L33"/>
    <mergeCell ref="M32:N33"/>
    <mergeCell ref="K34:L34"/>
    <mergeCell ref="M34:N34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A13:E13"/>
    <mergeCell ref="H13:J13"/>
    <mergeCell ref="M13:N13"/>
    <mergeCell ref="A16:H16"/>
    <mergeCell ref="J16:P16"/>
    <mergeCell ref="A11:E11"/>
    <mergeCell ref="H11:J11"/>
    <mergeCell ref="M11:N11"/>
    <mergeCell ref="A12:E12"/>
    <mergeCell ref="H12:J12"/>
    <mergeCell ref="M12:N12"/>
    <mergeCell ref="A9:E9"/>
    <mergeCell ref="H9:J9"/>
    <mergeCell ref="M9:N9"/>
    <mergeCell ref="A10:E10"/>
    <mergeCell ref="H10:J10"/>
    <mergeCell ref="M10:N10"/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</mergeCells>
  <conditionalFormatting sqref="F34:F36 F38:F40 F18:F31">
    <cfRule type="cellIs" dxfId="102" priority="28" operator="greaterThanOrEqual">
      <formula>B18</formula>
    </cfRule>
  </conditionalFormatting>
  <conditionalFormatting sqref="G18:G31">
    <cfRule type="cellIs" dxfId="101" priority="27" operator="greaterThan">
      <formula>0</formula>
    </cfRule>
  </conditionalFormatting>
  <conditionalFormatting sqref="H44:H45 H34:H40 H18:H31">
    <cfRule type="cellIs" dxfId="100" priority="26" operator="lessThan">
      <formula>0</formula>
    </cfRule>
  </conditionalFormatting>
  <conditionalFormatting sqref="H44:H45 H34:H40 H18:H31">
    <cfRule type="cellIs" dxfId="99" priority="25" operator="greaterThanOrEqual">
      <formula>0</formula>
    </cfRule>
  </conditionalFormatting>
  <conditionalFormatting sqref="G18:G31">
    <cfRule type="cellIs" dxfId="98" priority="24" operator="equal">
      <formula>0</formula>
    </cfRule>
  </conditionalFormatting>
  <conditionalFormatting sqref="F34:F36 F38:F40 F18:F31">
    <cfRule type="cellIs" dxfId="97" priority="23" operator="lessThan">
      <formula>B18</formula>
    </cfRule>
  </conditionalFormatting>
  <conditionalFormatting sqref="G34:G36 G38:G40">
    <cfRule type="cellIs" dxfId="96" priority="21" operator="greaterThan">
      <formula>0</formula>
    </cfRule>
    <cfRule type="cellIs" dxfId="95" priority="22" operator="equal">
      <formula>0</formula>
    </cfRule>
  </conditionalFormatting>
  <conditionalFormatting sqref="H34:H40">
    <cfRule type="cellIs" dxfId="94" priority="19" operator="greaterThanOrEqual">
      <formula>0</formula>
    </cfRule>
    <cfRule type="cellIs" dxfId="93" priority="20" operator="lessThan">
      <formula>0</formula>
    </cfRule>
  </conditionalFormatting>
  <conditionalFormatting sqref="F44:F45">
    <cfRule type="cellIs" dxfId="92" priority="18" operator="lessThan">
      <formula>B44</formula>
    </cfRule>
  </conditionalFormatting>
  <conditionalFormatting sqref="F44:F45">
    <cfRule type="cellIs" dxfId="91" priority="17" operator="greaterThanOrEqual">
      <formula>B44</formula>
    </cfRule>
  </conditionalFormatting>
  <conditionalFormatting sqref="G37 G44:G45">
    <cfRule type="cellIs" dxfId="90" priority="15" operator="equal">
      <formula>0</formula>
    </cfRule>
    <cfRule type="cellIs" dxfId="89" priority="16" operator="greaterThan">
      <formula>0</formula>
    </cfRule>
  </conditionalFormatting>
  <conditionalFormatting sqref="H44:H45">
    <cfRule type="cellIs" dxfId="88" priority="13" operator="lessThan">
      <formula>0</formula>
    </cfRule>
    <cfRule type="cellIs" dxfId="87" priority="14" operator="greaterThanOrEqual">
      <formula>0</formula>
    </cfRule>
  </conditionalFormatting>
  <conditionalFormatting sqref="F37">
    <cfRule type="cellIs" dxfId="86" priority="11" operator="greaterThanOrEqual">
      <formula>$B$37</formula>
    </cfRule>
    <cfRule type="cellIs" dxfId="85" priority="12" operator="lessThan">
      <formula>$B$37</formula>
    </cfRule>
  </conditionalFormatting>
  <conditionalFormatting sqref="Q18:Q20 O18:O20 Q25:Q29">
    <cfRule type="cellIs" dxfId="84" priority="10" operator="between">
      <formula>1</formula>
      <formula>9</formula>
    </cfRule>
  </conditionalFormatting>
  <conditionalFormatting sqref="N18">
    <cfRule type="cellIs" dxfId="83" priority="9" operator="greaterThan">
      <formula>0</formula>
    </cfRule>
  </conditionalFormatting>
  <conditionalFormatting sqref="M18 M34:N37 N40 M38:M40">
    <cfRule type="cellIs" dxfId="82" priority="8" operator="greaterThan">
      <formula>0</formula>
    </cfRule>
  </conditionalFormatting>
  <conditionalFormatting sqref="O13 F13 K13">
    <cfRule type="cellIs" dxfId="81" priority="6" operator="greaterThan">
      <formula>-1</formula>
    </cfRule>
    <cfRule type="cellIs" dxfId="80" priority="7" operator="lessThan">
      <formula>0</formula>
    </cfRule>
  </conditionalFormatting>
  <conditionalFormatting sqref="O18:O20">
    <cfRule type="cellIs" dxfId="79" priority="5" operator="greaterThan">
      <formula>0</formula>
    </cfRule>
  </conditionalFormatting>
  <conditionalFormatting sqref="O25:O29">
    <cfRule type="cellIs" dxfId="78" priority="3" operator="lessThanOrEqual">
      <formula>0</formula>
    </cfRule>
    <cfRule type="cellIs" dxfId="77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U54"/>
  <sheetViews>
    <sheetView showGridLines="0" topLeftCell="A10" workbookViewId="0">
      <selection activeCell="M39" sqref="M39:N39"/>
    </sheetView>
  </sheetViews>
  <sheetFormatPr defaultColWidth="9.140625" defaultRowHeight="12"/>
  <cols>
    <col min="1" max="1" width="9.42578125" style="59" customWidth="1"/>
    <col min="2" max="2" width="13.140625" style="59" customWidth="1"/>
    <col min="3" max="3" width="13.140625" style="208" customWidth="1"/>
    <col min="4" max="4" width="9.140625" style="59" customWidth="1"/>
    <col min="5" max="5" width="12.42578125" style="59" customWidth="1"/>
    <col min="6" max="6" width="13.42578125" style="59" customWidth="1"/>
    <col min="7" max="7" width="10" style="59" customWidth="1"/>
    <col min="8" max="8" width="9.5703125" style="59" customWidth="1"/>
    <col min="9" max="10" width="11" style="59" customWidth="1"/>
    <col min="11" max="11" width="9.85546875" style="59" customWidth="1"/>
    <col min="12" max="12" width="13.28515625" style="59" customWidth="1"/>
    <col min="13" max="13" width="15" style="59" customWidth="1"/>
    <col min="14" max="15" width="11.28515625" style="59" customWidth="1"/>
    <col min="16" max="16" width="12.42578125" style="59" customWidth="1"/>
    <col min="17" max="17" width="10.28515625" style="59" customWidth="1"/>
    <col min="18" max="18" width="9.7109375" style="59" customWidth="1"/>
    <col min="19" max="19" width="10" style="59" customWidth="1"/>
    <col min="20" max="20" width="8.7109375" style="59" customWidth="1"/>
    <col min="21" max="16384" width="9.140625" style="59"/>
  </cols>
  <sheetData>
    <row r="1" spans="1:21" ht="21" customHeight="1" thickBot="1">
      <c r="A1" s="387" t="s">
        <v>42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6"/>
      <c r="P1" s="61"/>
      <c r="Q1" s="61"/>
      <c r="R1" s="61"/>
      <c r="S1" s="61"/>
      <c r="T1" s="61"/>
      <c r="U1" s="5"/>
    </row>
    <row r="2" spans="1:21" ht="8.25" customHeight="1" thickBot="1">
      <c r="A2" s="603"/>
      <c r="B2" s="604"/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</row>
    <row r="3" spans="1:21" s="25" customFormat="1" ht="26.25" customHeight="1" thickBot="1">
      <c r="A3" s="98" t="s">
        <v>0</v>
      </c>
      <c r="B3" s="365">
        <v>43877</v>
      </c>
      <c r="C3" s="210"/>
      <c r="D3" s="20"/>
      <c r="E3" s="98" t="s">
        <v>1</v>
      </c>
      <c r="F3" s="605" t="s">
        <v>201</v>
      </c>
      <c r="G3" s="631"/>
      <c r="H3" s="21"/>
      <c r="I3" s="99" t="s">
        <v>51</v>
      </c>
      <c r="J3" s="605" t="s">
        <v>202</v>
      </c>
      <c r="K3" s="606"/>
      <c r="L3" s="22"/>
      <c r="M3" s="99" t="s">
        <v>2</v>
      </c>
      <c r="N3" s="367">
        <v>1700</v>
      </c>
      <c r="O3" s="22"/>
      <c r="P3" s="23"/>
      <c r="Q3" s="22"/>
      <c r="R3" s="19"/>
      <c r="S3" s="19"/>
      <c r="T3" s="22"/>
    </row>
    <row r="4" spans="1:21" ht="16.5" customHeight="1" thickBot="1">
      <c r="K4" s="9"/>
      <c r="L4" s="9"/>
      <c r="M4" s="9"/>
      <c r="N4" s="9"/>
      <c r="O4" s="9"/>
      <c r="P4" s="9"/>
      <c r="Q4" s="9"/>
      <c r="R4" s="17"/>
      <c r="S4" s="17"/>
      <c r="T4" s="9"/>
    </row>
    <row r="5" spans="1:21" ht="18" customHeight="1" thickBot="1">
      <c r="A5" s="632" t="s">
        <v>5</v>
      </c>
      <c r="B5" s="633"/>
      <c r="C5" s="633"/>
      <c r="D5" s="633"/>
      <c r="E5" s="633"/>
      <c r="F5" s="634"/>
      <c r="G5" s="5"/>
      <c r="H5" s="632" t="s">
        <v>7</v>
      </c>
      <c r="I5" s="633"/>
      <c r="J5" s="633"/>
      <c r="K5" s="634"/>
      <c r="M5" s="635" t="s">
        <v>13</v>
      </c>
      <c r="N5" s="447"/>
      <c r="O5" s="413"/>
      <c r="P5" s="68"/>
      <c r="S5" s="9"/>
    </row>
    <row r="6" spans="1:21" ht="17.25" customHeight="1">
      <c r="A6" s="612" t="s">
        <v>17</v>
      </c>
      <c r="B6" s="613"/>
      <c r="C6" s="613"/>
      <c r="D6" s="613"/>
      <c r="E6" s="613"/>
      <c r="F6" s="27">
        <f>'Sitrep 0830'!E6</f>
        <v>0</v>
      </c>
      <c r="G6" s="9"/>
      <c r="H6" s="612" t="s">
        <v>17</v>
      </c>
      <c r="I6" s="613"/>
      <c r="J6" s="613"/>
      <c r="K6" s="27">
        <f>'Sitrep 0830'!J6</f>
        <v>0</v>
      </c>
      <c r="M6" s="612" t="s">
        <v>17</v>
      </c>
      <c r="N6" s="636"/>
      <c r="O6" s="27">
        <f>F6+K6</f>
        <v>0</v>
      </c>
      <c r="S6" s="17"/>
    </row>
    <row r="7" spans="1:21" ht="12" customHeight="1">
      <c r="A7" s="614" t="s">
        <v>18</v>
      </c>
      <c r="B7" s="615"/>
      <c r="C7" s="615"/>
      <c r="D7" s="615"/>
      <c r="E7" s="615"/>
      <c r="F7" s="28">
        <f>'Sitrep 0830'!E7</f>
        <v>55</v>
      </c>
      <c r="G7" s="26"/>
      <c r="H7" s="57" t="s">
        <v>18</v>
      </c>
      <c r="I7" s="58"/>
      <c r="J7" s="58"/>
      <c r="K7" s="28">
        <f>'Sitrep 0830'!J7</f>
        <v>23</v>
      </c>
      <c r="M7" s="614" t="s">
        <v>14</v>
      </c>
      <c r="N7" s="630"/>
      <c r="O7" s="28">
        <f t="shared" ref="O7:O13" si="0">F7+K7</f>
        <v>78</v>
      </c>
      <c r="S7" s="9"/>
    </row>
    <row r="8" spans="1:21" ht="12" customHeight="1">
      <c r="A8" s="614" t="s">
        <v>19</v>
      </c>
      <c r="B8" s="615"/>
      <c r="C8" s="615"/>
      <c r="D8" s="615"/>
      <c r="E8" s="615"/>
      <c r="F8" s="29">
        <f>SUM(F6:F7)</f>
        <v>55</v>
      </c>
      <c r="G8" s="26"/>
      <c r="H8" s="581" t="s">
        <v>19</v>
      </c>
      <c r="I8" s="582"/>
      <c r="J8" s="582"/>
      <c r="K8" s="29">
        <f>SUM(K6:K7)</f>
        <v>23</v>
      </c>
      <c r="M8" s="614" t="s">
        <v>19</v>
      </c>
      <c r="N8" s="630"/>
      <c r="O8" s="29">
        <f t="shared" si="0"/>
        <v>78</v>
      </c>
      <c r="S8" s="9"/>
    </row>
    <row r="9" spans="1:21" ht="12" customHeight="1">
      <c r="A9" s="624" t="s">
        <v>4</v>
      </c>
      <c r="B9" s="625"/>
      <c r="C9" s="625"/>
      <c r="D9" s="625"/>
      <c r="E9" s="626"/>
      <c r="F9" s="113">
        <v>35</v>
      </c>
      <c r="G9" s="9"/>
      <c r="H9" s="627" t="s">
        <v>4</v>
      </c>
      <c r="I9" s="628"/>
      <c r="J9" s="629"/>
      <c r="K9" s="113">
        <v>11</v>
      </c>
      <c r="M9" s="614" t="s">
        <v>4</v>
      </c>
      <c r="N9" s="630"/>
      <c r="O9" s="66">
        <f t="shared" si="0"/>
        <v>46</v>
      </c>
      <c r="Q9" s="9"/>
      <c r="R9" s="9"/>
      <c r="S9" s="9"/>
    </row>
    <row r="10" spans="1:21" ht="12" customHeight="1">
      <c r="A10" s="614" t="s">
        <v>3</v>
      </c>
      <c r="B10" s="615"/>
      <c r="C10" s="615"/>
      <c r="D10" s="615"/>
      <c r="E10" s="615"/>
      <c r="F10" s="30">
        <f>F8-F9</f>
        <v>20</v>
      </c>
      <c r="G10" s="9"/>
      <c r="H10" s="581" t="s">
        <v>3</v>
      </c>
      <c r="I10" s="582"/>
      <c r="J10" s="582"/>
      <c r="K10" s="30">
        <f>K8-K9</f>
        <v>12</v>
      </c>
      <c r="M10" s="614" t="s">
        <v>3</v>
      </c>
      <c r="N10" s="630"/>
      <c r="O10" s="30">
        <f t="shared" si="0"/>
        <v>32</v>
      </c>
      <c r="Q10" s="9"/>
      <c r="R10" s="9"/>
      <c r="S10" s="9"/>
    </row>
    <row r="11" spans="1:21" ht="12.75">
      <c r="A11" s="624" t="s">
        <v>8</v>
      </c>
      <c r="B11" s="625"/>
      <c r="C11" s="625"/>
      <c r="D11" s="625"/>
      <c r="E11" s="626"/>
      <c r="F11" s="31">
        <f>D32</f>
        <v>6</v>
      </c>
      <c r="G11" s="9"/>
      <c r="H11" s="627" t="s">
        <v>8</v>
      </c>
      <c r="I11" s="628"/>
      <c r="J11" s="629"/>
      <c r="K11" s="31">
        <f>SUM(D34:D35,D38:D40,D44:D45,D37)</f>
        <v>17</v>
      </c>
      <c r="M11" s="614" t="s">
        <v>8</v>
      </c>
      <c r="N11" s="630"/>
      <c r="O11" s="31">
        <f t="shared" si="0"/>
        <v>23</v>
      </c>
      <c r="Q11" s="19" t="s">
        <v>6</v>
      </c>
      <c r="R11" s="19"/>
      <c r="S11" s="18"/>
    </row>
    <row r="12" spans="1:21" ht="12.75">
      <c r="A12" s="581" t="s">
        <v>26</v>
      </c>
      <c r="B12" s="582"/>
      <c r="C12" s="582"/>
      <c r="D12" s="582"/>
      <c r="E12" s="582"/>
      <c r="F12" s="32">
        <f>F32</f>
        <v>8</v>
      </c>
      <c r="G12" s="4"/>
      <c r="H12" s="581" t="s">
        <v>26</v>
      </c>
      <c r="I12" s="582"/>
      <c r="J12" s="582"/>
      <c r="K12" s="32">
        <f>SUM(F34:F35,F38:F40,F44:F45,F37)</f>
        <v>3</v>
      </c>
      <c r="M12" s="581" t="s">
        <v>26</v>
      </c>
      <c r="N12" s="630"/>
      <c r="O12" s="32">
        <f t="shared" si="0"/>
        <v>11</v>
      </c>
      <c r="Q12" s="19"/>
      <c r="R12" s="19"/>
      <c r="S12" s="18"/>
    </row>
    <row r="13" spans="1:21" ht="13.5" thickBot="1">
      <c r="A13" s="583" t="s">
        <v>12</v>
      </c>
      <c r="B13" s="584"/>
      <c r="C13" s="584"/>
      <c r="D13" s="584"/>
      <c r="E13" s="584"/>
      <c r="F13" s="33">
        <f>(F11+F12)-F10</f>
        <v>-6</v>
      </c>
      <c r="G13" s="4"/>
      <c r="H13" s="583" t="s">
        <v>12</v>
      </c>
      <c r="I13" s="584"/>
      <c r="J13" s="584"/>
      <c r="K13" s="33">
        <f>(K11+K12)-K10</f>
        <v>8</v>
      </c>
      <c r="M13" s="583" t="s">
        <v>12</v>
      </c>
      <c r="N13" s="637"/>
      <c r="O13" s="33">
        <f t="shared" si="0"/>
        <v>2</v>
      </c>
      <c r="P13" s="5"/>
      <c r="Q13" s="19"/>
      <c r="R13" s="19"/>
      <c r="S13" s="9"/>
    </row>
    <row r="14" spans="1:21">
      <c r="P14" s="5"/>
      <c r="Q14" s="9"/>
      <c r="R14" s="9"/>
      <c r="S14" s="9"/>
    </row>
    <row r="15" spans="1:21" ht="12.75" thickBot="1">
      <c r="I15" s="5"/>
      <c r="J15" s="5"/>
      <c r="K15" s="5"/>
      <c r="L15" s="5"/>
      <c r="M15" s="5"/>
      <c r="N15" s="5"/>
      <c r="O15" s="9"/>
      <c r="P15" s="5"/>
      <c r="Q15" s="9"/>
      <c r="R15" s="9"/>
      <c r="S15" s="5"/>
      <c r="T15" s="5"/>
      <c r="U15" s="5"/>
    </row>
    <row r="16" spans="1:21" ht="13.5" customHeight="1" thickBot="1">
      <c r="A16" s="387" t="s">
        <v>32</v>
      </c>
      <c r="B16" s="638"/>
      <c r="C16" s="638"/>
      <c r="D16" s="638"/>
      <c r="E16" s="638"/>
      <c r="F16" s="638"/>
      <c r="G16" s="638"/>
      <c r="H16" s="639"/>
      <c r="I16" s="62"/>
      <c r="J16" s="387" t="s">
        <v>185</v>
      </c>
      <c r="K16" s="580"/>
      <c r="L16" s="580"/>
      <c r="M16" s="580"/>
      <c r="N16" s="580"/>
      <c r="O16" s="580"/>
      <c r="P16" s="388"/>
      <c r="Q16" s="60"/>
      <c r="R16" s="18"/>
      <c r="S16" s="61"/>
      <c r="T16" s="61"/>
      <c r="U16" s="5"/>
    </row>
    <row r="17" spans="1:20" ht="69.75" customHeight="1" thickBot="1">
      <c r="A17" s="54" t="s">
        <v>9</v>
      </c>
      <c r="B17" s="50" t="s">
        <v>47</v>
      </c>
      <c r="C17" s="207" t="s">
        <v>116</v>
      </c>
      <c r="D17" s="55" t="s">
        <v>31</v>
      </c>
      <c r="E17" s="49" t="s">
        <v>70</v>
      </c>
      <c r="F17" s="55" t="s">
        <v>112</v>
      </c>
      <c r="G17" s="49" t="s">
        <v>63</v>
      </c>
      <c r="H17" s="90" t="s">
        <v>24</v>
      </c>
      <c r="I17" s="9"/>
      <c r="J17" s="67" t="s">
        <v>37</v>
      </c>
      <c r="K17" s="67" t="s">
        <v>38</v>
      </c>
      <c r="L17" s="67" t="s">
        <v>39</v>
      </c>
      <c r="M17" s="67" t="s">
        <v>46</v>
      </c>
      <c r="N17" s="67" t="s">
        <v>40</v>
      </c>
      <c r="O17" s="67" t="s">
        <v>41</v>
      </c>
      <c r="P17" s="67" t="s">
        <v>187</v>
      </c>
      <c r="Q17" s="1"/>
      <c r="R17" s="9"/>
    </row>
    <row r="18" spans="1:20" ht="13.5" customHeight="1">
      <c r="A18" s="35" t="s">
        <v>10</v>
      </c>
      <c r="B18" s="51">
        <v>22</v>
      </c>
      <c r="C18" s="211"/>
      <c r="D18" s="100">
        <v>0</v>
      </c>
      <c r="E18" s="100">
        <v>0</v>
      </c>
      <c r="F18" s="100">
        <v>8</v>
      </c>
      <c r="G18" s="100">
        <v>11</v>
      </c>
      <c r="H18" s="45">
        <f>(F18+G18)-(B18+E18)</f>
        <v>-3</v>
      </c>
      <c r="I18" s="9"/>
      <c r="J18" s="645">
        <v>34</v>
      </c>
      <c r="K18" s="588" t="s">
        <v>203</v>
      </c>
      <c r="L18" s="588" t="s">
        <v>204</v>
      </c>
      <c r="M18" s="588">
        <v>8</v>
      </c>
      <c r="N18" s="588">
        <v>5</v>
      </c>
      <c r="O18" s="593">
        <v>13</v>
      </c>
      <c r="P18" s="451">
        <v>120</v>
      </c>
      <c r="Q18" s="9"/>
      <c r="R18" s="9"/>
    </row>
    <row r="19" spans="1:20">
      <c r="A19" s="36">
        <v>13</v>
      </c>
      <c r="B19" s="52">
        <v>5</v>
      </c>
      <c r="C19" s="212"/>
      <c r="D19" s="101">
        <v>0</v>
      </c>
      <c r="E19" s="101"/>
      <c r="F19" s="101">
        <v>0</v>
      </c>
      <c r="G19" s="101">
        <v>0</v>
      </c>
      <c r="H19" s="46">
        <f t="shared" ref="H19:H31" si="1">(F19+G19)-(B19+E19)</f>
        <v>-5</v>
      </c>
      <c r="I19" s="9"/>
      <c r="J19" s="646"/>
      <c r="K19" s="648"/>
      <c r="L19" s="648"/>
      <c r="M19" s="648"/>
      <c r="N19" s="648"/>
      <c r="O19" s="594"/>
      <c r="P19" s="671"/>
      <c r="Q19" s="9"/>
      <c r="R19" s="340" t="s">
        <v>6</v>
      </c>
    </row>
    <row r="20" spans="1:20" ht="12.75" customHeight="1" thickBot="1">
      <c r="A20" s="36">
        <v>9</v>
      </c>
      <c r="B20" s="52">
        <v>1</v>
      </c>
      <c r="C20" s="212"/>
      <c r="D20" s="240">
        <v>0</v>
      </c>
      <c r="E20" s="240"/>
      <c r="F20" s="240">
        <v>0</v>
      </c>
      <c r="G20" s="240">
        <v>0</v>
      </c>
      <c r="H20" s="46">
        <f t="shared" si="1"/>
        <v>-1</v>
      </c>
      <c r="I20" s="9"/>
      <c r="J20" s="647"/>
      <c r="K20" s="649"/>
      <c r="L20" s="649"/>
      <c r="M20" s="649"/>
      <c r="N20" s="649"/>
      <c r="O20" s="595"/>
      <c r="P20" s="452"/>
      <c r="Q20" s="206" t="s">
        <v>6</v>
      </c>
      <c r="R20" s="127" t="s">
        <v>6</v>
      </c>
      <c r="T20" s="126" t="s">
        <v>6</v>
      </c>
    </row>
    <row r="21" spans="1:20" ht="13.5" thickBot="1">
      <c r="A21" s="36">
        <v>22</v>
      </c>
      <c r="B21" s="52">
        <v>3</v>
      </c>
      <c r="C21" s="217"/>
      <c r="D21" s="101">
        <v>0</v>
      </c>
      <c r="E21" s="101"/>
      <c r="F21" s="101">
        <v>0</v>
      </c>
      <c r="G21" s="101">
        <v>1</v>
      </c>
      <c r="H21" s="46">
        <f t="shared" si="1"/>
        <v>-2</v>
      </c>
      <c r="I21" s="9"/>
      <c r="J21" s="642" t="s">
        <v>36</v>
      </c>
      <c r="K21" s="643"/>
      <c r="L21" s="643"/>
      <c r="M21" s="643"/>
      <c r="N21" s="643"/>
      <c r="O21" s="644"/>
      <c r="P21" s="61"/>
      <c r="Q21" s="61"/>
    </row>
    <row r="22" spans="1:20" ht="12" customHeight="1">
      <c r="A22" s="36" t="s">
        <v>21</v>
      </c>
      <c r="B22" s="52">
        <v>10</v>
      </c>
      <c r="C22" s="217"/>
      <c r="D22" s="101">
        <v>2</v>
      </c>
      <c r="E22" s="101"/>
      <c r="F22" s="101">
        <v>0</v>
      </c>
      <c r="G22" s="101">
        <v>3</v>
      </c>
      <c r="H22" s="46">
        <f t="shared" si="1"/>
        <v>-7</v>
      </c>
      <c r="I22" s="9"/>
      <c r="J22" s="64" t="s">
        <v>36</v>
      </c>
      <c r="K22" s="382" t="s">
        <v>31</v>
      </c>
      <c r="L22" s="382" t="s">
        <v>44</v>
      </c>
      <c r="M22" s="382" t="s">
        <v>67</v>
      </c>
      <c r="N22" s="382" t="s">
        <v>35</v>
      </c>
      <c r="O22" s="380" t="s">
        <v>24</v>
      </c>
      <c r="Q22" s="9"/>
    </row>
    <row r="23" spans="1:20" ht="12" customHeight="1">
      <c r="A23" s="36">
        <v>32</v>
      </c>
      <c r="B23" s="52">
        <v>3</v>
      </c>
      <c r="C23" s="217"/>
      <c r="D23" s="101">
        <v>0</v>
      </c>
      <c r="E23" s="101"/>
      <c r="F23" s="101">
        <v>0</v>
      </c>
      <c r="G23" s="101">
        <v>0</v>
      </c>
      <c r="H23" s="46">
        <f t="shared" si="1"/>
        <v>-3</v>
      </c>
      <c r="I23" s="9"/>
      <c r="J23" s="65"/>
      <c r="K23" s="381"/>
      <c r="L23" s="381"/>
      <c r="M23" s="381"/>
      <c r="N23" s="381"/>
      <c r="O23" s="381"/>
      <c r="Q23" s="9"/>
    </row>
    <row r="24" spans="1:20" ht="12" customHeight="1" thickBot="1">
      <c r="A24" s="36">
        <v>33</v>
      </c>
      <c r="B24" s="52">
        <v>1</v>
      </c>
      <c r="C24" s="217"/>
      <c r="D24" s="240">
        <v>0</v>
      </c>
      <c r="E24" s="240"/>
      <c r="F24" s="240">
        <v>0</v>
      </c>
      <c r="G24" s="240">
        <v>0</v>
      </c>
      <c r="H24" s="46">
        <f t="shared" si="1"/>
        <v>-1</v>
      </c>
      <c r="I24" s="9"/>
      <c r="J24" s="91"/>
      <c r="K24" s="381"/>
      <c r="L24" s="381"/>
      <c r="M24" s="381"/>
      <c r="N24" s="381"/>
      <c r="O24" s="381"/>
      <c r="Q24" s="9"/>
    </row>
    <row r="25" spans="1:20">
      <c r="A25" s="36">
        <v>34</v>
      </c>
      <c r="B25" s="52">
        <v>3</v>
      </c>
      <c r="C25" s="217"/>
      <c r="D25" s="101">
        <v>1</v>
      </c>
      <c r="E25" s="101"/>
      <c r="F25" s="101">
        <v>0</v>
      </c>
      <c r="G25" s="101">
        <v>1</v>
      </c>
      <c r="H25" s="46">
        <f t="shared" si="1"/>
        <v>-2</v>
      </c>
      <c r="I25" s="9"/>
      <c r="J25" s="155" t="s">
        <v>84</v>
      </c>
      <c r="K25" s="146">
        <v>3</v>
      </c>
      <c r="L25" s="146">
        <v>0</v>
      </c>
      <c r="M25" s="146">
        <v>0</v>
      </c>
      <c r="N25" s="146">
        <v>0</v>
      </c>
      <c r="O25" s="45">
        <f>(K25+N25)-M25</f>
        <v>3</v>
      </c>
      <c r="Q25" s="9"/>
    </row>
    <row r="26" spans="1:20" ht="12" customHeight="1">
      <c r="A26" s="36">
        <v>41</v>
      </c>
      <c r="B26" s="52">
        <v>3</v>
      </c>
      <c r="C26" s="217"/>
      <c r="D26" s="101">
        <v>1</v>
      </c>
      <c r="E26" s="101"/>
      <c r="F26" s="101">
        <v>0</v>
      </c>
      <c r="G26" s="101">
        <v>0</v>
      </c>
      <c r="H26" s="46">
        <f t="shared" si="1"/>
        <v>-3</v>
      </c>
      <c r="I26" s="9"/>
      <c r="J26" s="92" t="s">
        <v>30</v>
      </c>
      <c r="K26" s="371">
        <v>2</v>
      </c>
      <c r="L26" s="371">
        <v>0</v>
      </c>
      <c r="M26" s="371">
        <v>0</v>
      </c>
      <c r="N26" s="371">
        <v>0</v>
      </c>
      <c r="O26" s="46">
        <f t="shared" ref="O26:O29" si="2">(K26+N26)-M26</f>
        <v>2</v>
      </c>
      <c r="Q26" s="9"/>
    </row>
    <row r="27" spans="1:20" ht="12" customHeight="1">
      <c r="A27" s="36">
        <v>42</v>
      </c>
      <c r="B27" s="52">
        <v>3</v>
      </c>
      <c r="C27" s="217"/>
      <c r="D27" s="101">
        <v>0</v>
      </c>
      <c r="E27" s="101"/>
      <c r="F27" s="101">
        <v>0</v>
      </c>
      <c r="G27" s="101">
        <v>0</v>
      </c>
      <c r="H27" s="46">
        <f t="shared" si="1"/>
        <v>-3</v>
      </c>
      <c r="I27" s="9"/>
      <c r="J27" s="92" t="s">
        <v>29</v>
      </c>
      <c r="K27" s="371">
        <v>2</v>
      </c>
      <c r="L27" s="371">
        <v>0</v>
      </c>
      <c r="M27" s="371">
        <v>0</v>
      </c>
      <c r="N27" s="371">
        <v>0</v>
      </c>
      <c r="O27" s="46">
        <f t="shared" si="2"/>
        <v>2</v>
      </c>
      <c r="Q27" s="9"/>
    </row>
    <row r="28" spans="1:20" ht="12.75" customHeight="1">
      <c r="A28" s="36">
        <v>43</v>
      </c>
      <c r="B28" s="52">
        <v>5</v>
      </c>
      <c r="C28" s="217"/>
      <c r="D28" s="101">
        <v>1</v>
      </c>
      <c r="E28" s="101"/>
      <c r="F28" s="101">
        <v>0</v>
      </c>
      <c r="G28" s="101">
        <v>1</v>
      </c>
      <c r="H28" s="46">
        <f t="shared" si="1"/>
        <v>-4</v>
      </c>
      <c r="I28" s="9"/>
      <c r="J28" s="92" t="s">
        <v>27</v>
      </c>
      <c r="K28" s="371">
        <v>1</v>
      </c>
      <c r="L28" s="371">
        <v>0</v>
      </c>
      <c r="M28" s="371">
        <v>0</v>
      </c>
      <c r="N28" s="371">
        <v>0</v>
      </c>
      <c r="O28" s="46">
        <f t="shared" si="2"/>
        <v>1</v>
      </c>
      <c r="Q28" s="9"/>
    </row>
    <row r="29" spans="1:20" ht="12.75" thickBot="1">
      <c r="A29" s="36">
        <v>44</v>
      </c>
      <c r="B29" s="52">
        <v>5</v>
      </c>
      <c r="C29" s="217"/>
      <c r="D29" s="101">
        <v>1</v>
      </c>
      <c r="E29" s="101"/>
      <c r="F29" s="101">
        <v>0</v>
      </c>
      <c r="G29" s="101">
        <v>1</v>
      </c>
      <c r="H29" s="46">
        <f t="shared" si="1"/>
        <v>-4</v>
      </c>
      <c r="I29" s="9"/>
      <c r="J29" s="93" t="s">
        <v>28</v>
      </c>
      <c r="K29" s="105">
        <v>2</v>
      </c>
      <c r="L29" s="105">
        <v>0</v>
      </c>
      <c r="M29" s="105">
        <v>0</v>
      </c>
      <c r="N29" s="105">
        <v>0</v>
      </c>
      <c r="O29" s="41">
        <f t="shared" si="2"/>
        <v>2</v>
      </c>
      <c r="Q29" s="9"/>
    </row>
    <row r="30" spans="1:20" ht="12.75" thickBot="1">
      <c r="A30" s="129">
        <v>51</v>
      </c>
      <c r="B30" s="130">
        <v>3</v>
      </c>
      <c r="C30" s="244"/>
      <c r="D30" s="131">
        <v>0</v>
      </c>
      <c r="E30" s="131"/>
      <c r="F30" s="131">
        <v>0</v>
      </c>
      <c r="G30" s="131">
        <v>0</v>
      </c>
      <c r="H30" s="46">
        <f t="shared" si="1"/>
        <v>-3</v>
      </c>
      <c r="I30" s="9"/>
      <c r="Q30" s="9"/>
    </row>
    <row r="31" spans="1:20" ht="13.5" thickBot="1">
      <c r="A31" s="7">
        <v>54</v>
      </c>
      <c r="B31" s="53">
        <v>1</v>
      </c>
      <c r="C31" s="218"/>
      <c r="D31" s="242">
        <v>0</v>
      </c>
      <c r="E31" s="242"/>
      <c r="F31" s="245">
        <v>0</v>
      </c>
      <c r="G31" s="245">
        <v>0</v>
      </c>
      <c r="H31" s="46">
        <f t="shared" si="1"/>
        <v>-1</v>
      </c>
      <c r="I31" s="9"/>
      <c r="J31" s="448" t="s">
        <v>69</v>
      </c>
      <c r="K31" s="449"/>
      <c r="L31" s="449"/>
      <c r="M31" s="449"/>
      <c r="N31" s="450"/>
      <c r="O31" s="69"/>
      <c r="P31" s="17"/>
      <c r="Q31" s="9"/>
    </row>
    <row r="32" spans="1:20" ht="12" customHeight="1" thickBot="1">
      <c r="A32" s="40" t="s">
        <v>22</v>
      </c>
      <c r="B32" s="12">
        <f>SUM(B18:B31)</f>
        <v>68</v>
      </c>
      <c r="C32" s="12"/>
      <c r="D32" s="13">
        <f>SUM(D18:D30)</f>
        <v>6</v>
      </c>
      <c r="E32" s="13">
        <f>SUM(E18:E30)</f>
        <v>0</v>
      </c>
      <c r="F32" s="14">
        <f>SUM(F18:F30)</f>
        <v>8</v>
      </c>
      <c r="G32" s="14">
        <f>SUM(G18:G30)</f>
        <v>18</v>
      </c>
      <c r="H32" s="14">
        <f>SUM(H18:H31)</f>
        <v>-42</v>
      </c>
      <c r="I32" s="9"/>
      <c r="J32" s="382" t="s">
        <v>9</v>
      </c>
      <c r="K32" s="439" t="s">
        <v>15</v>
      </c>
      <c r="L32" s="650"/>
      <c r="M32" s="576" t="s">
        <v>33</v>
      </c>
      <c r="N32" s="650"/>
      <c r="O32" s="18"/>
      <c r="P32" s="9"/>
      <c r="Q32" s="9"/>
    </row>
    <row r="33" spans="1:19" ht="13.5" thickBot="1">
      <c r="A33" s="43"/>
      <c r="B33" s="5"/>
      <c r="C33" s="209"/>
      <c r="D33" s="9"/>
      <c r="E33" s="9"/>
      <c r="F33" s="6"/>
      <c r="G33" s="9"/>
      <c r="H33" s="11"/>
      <c r="I33" s="9"/>
      <c r="J33" s="561"/>
      <c r="K33" s="651"/>
      <c r="L33" s="652"/>
      <c r="M33" s="651"/>
      <c r="N33" s="652"/>
      <c r="O33" s="18"/>
      <c r="P33" s="18"/>
      <c r="Q33" s="9"/>
      <c r="S33" s="63"/>
    </row>
    <row r="34" spans="1:19" ht="12.75">
      <c r="A34" s="35" t="s">
        <v>11</v>
      </c>
      <c r="B34" s="51">
        <v>8</v>
      </c>
      <c r="C34" s="219"/>
      <c r="D34" s="189">
        <v>6</v>
      </c>
      <c r="E34" s="189">
        <v>1</v>
      </c>
      <c r="F34" s="189">
        <v>0</v>
      </c>
      <c r="G34" s="189">
        <v>6</v>
      </c>
      <c r="H34" s="45">
        <f>(F34+G34)-(B34+E34)</f>
        <v>-3</v>
      </c>
      <c r="I34" s="9"/>
      <c r="J34" s="110" t="s">
        <v>182</v>
      </c>
      <c r="K34" s="531">
        <v>10</v>
      </c>
      <c r="L34" s="473"/>
      <c r="M34" s="531" t="s">
        <v>194</v>
      </c>
      <c r="N34" s="474"/>
      <c r="O34" s="70"/>
      <c r="P34" s="9"/>
      <c r="Q34" s="9"/>
    </row>
    <row r="35" spans="1:19" ht="12.75">
      <c r="A35" s="36" t="s">
        <v>16</v>
      </c>
      <c r="B35" s="52">
        <v>6</v>
      </c>
      <c r="C35" s="217"/>
      <c r="D35" s="190">
        <v>1</v>
      </c>
      <c r="E35" s="190"/>
      <c r="F35" s="190">
        <v>0</v>
      </c>
      <c r="G35" s="190">
        <v>2</v>
      </c>
      <c r="H35" s="46">
        <f t="shared" ref="H35:H40" si="3">(F35+G35)-(B35+E35)</f>
        <v>-4</v>
      </c>
      <c r="I35" s="9"/>
      <c r="J35" s="111">
        <v>13</v>
      </c>
      <c r="K35" s="548">
        <v>14</v>
      </c>
      <c r="L35" s="476"/>
      <c r="M35" s="548">
        <v>14</v>
      </c>
      <c r="N35" s="477"/>
      <c r="O35" s="17"/>
      <c r="P35" s="9"/>
      <c r="Q35" s="9"/>
    </row>
    <row r="36" spans="1:19" ht="12.75">
      <c r="A36" s="36">
        <v>10</v>
      </c>
      <c r="B36" s="130">
        <v>4</v>
      </c>
      <c r="C36" s="217"/>
      <c r="D36" s="190">
        <v>6</v>
      </c>
      <c r="E36" s="190"/>
      <c r="F36" s="190">
        <v>0</v>
      </c>
      <c r="G36" s="190">
        <v>3</v>
      </c>
      <c r="H36" s="46">
        <f t="shared" si="3"/>
        <v>-1</v>
      </c>
      <c r="I36" s="9"/>
      <c r="J36" s="111">
        <v>4</v>
      </c>
      <c r="K36" s="669">
        <v>0</v>
      </c>
      <c r="L36" s="670"/>
      <c r="M36" s="549">
        <v>12</v>
      </c>
      <c r="N36" s="477"/>
      <c r="O36" s="17"/>
      <c r="P36" s="9"/>
      <c r="Q36" s="9"/>
    </row>
    <row r="37" spans="1:19" ht="12.75">
      <c r="A37" s="36">
        <v>9</v>
      </c>
      <c r="B37" s="52">
        <v>4</v>
      </c>
      <c r="C37" s="217"/>
      <c r="D37" s="190">
        <v>5</v>
      </c>
      <c r="E37" s="190"/>
      <c r="F37" s="190">
        <v>0</v>
      </c>
      <c r="G37" s="190">
        <v>4</v>
      </c>
      <c r="H37" s="46">
        <f>(F37+G37)-(B37+E37)</f>
        <v>0</v>
      </c>
      <c r="I37" s="9"/>
      <c r="J37" s="111" t="s">
        <v>197</v>
      </c>
      <c r="K37" s="669">
        <v>0</v>
      </c>
      <c r="L37" s="670"/>
      <c r="M37" s="549">
        <v>7</v>
      </c>
      <c r="N37" s="653"/>
      <c r="O37" s="17"/>
      <c r="P37" s="9"/>
      <c r="Q37" s="9"/>
    </row>
    <row r="38" spans="1:19" ht="13.5" customHeight="1">
      <c r="A38" s="36">
        <v>52</v>
      </c>
      <c r="B38" s="198">
        <v>6</v>
      </c>
      <c r="C38" s="217"/>
      <c r="D38" s="190">
        <v>2</v>
      </c>
      <c r="E38" s="190"/>
      <c r="F38" s="190">
        <v>0</v>
      </c>
      <c r="G38" s="190">
        <v>2</v>
      </c>
      <c r="H38" s="46">
        <f t="shared" si="3"/>
        <v>-4</v>
      </c>
      <c r="I38" s="9"/>
      <c r="J38" s="111"/>
      <c r="K38" s="669">
        <v>0</v>
      </c>
      <c r="L38" s="669"/>
      <c r="M38" s="548"/>
      <c r="N38" s="654"/>
      <c r="O38" s="17"/>
      <c r="P38" s="9"/>
      <c r="Q38" s="9"/>
    </row>
    <row r="39" spans="1:19" ht="13.5" customHeight="1">
      <c r="A39" s="36">
        <v>53</v>
      </c>
      <c r="B39" s="52">
        <v>6</v>
      </c>
      <c r="C39" s="217"/>
      <c r="D39" s="190">
        <v>1</v>
      </c>
      <c r="E39" s="190"/>
      <c r="F39" s="190">
        <v>0</v>
      </c>
      <c r="G39" s="190">
        <v>2</v>
      </c>
      <c r="H39" s="46">
        <f t="shared" si="3"/>
        <v>-4</v>
      </c>
      <c r="I39" s="9"/>
      <c r="J39" s="111"/>
      <c r="K39" s="669">
        <v>0</v>
      </c>
      <c r="L39" s="669"/>
      <c r="M39" s="548"/>
      <c r="N39" s="654"/>
      <c r="O39" s="17"/>
      <c r="P39" s="9"/>
      <c r="Q39" s="9"/>
    </row>
    <row r="40" spans="1:19" ht="13.5" thickBot="1">
      <c r="A40" s="36">
        <v>54</v>
      </c>
      <c r="B40" s="53">
        <v>6</v>
      </c>
      <c r="C40" s="217"/>
      <c r="D40" s="190">
        <v>0</v>
      </c>
      <c r="E40" s="190"/>
      <c r="F40" s="190">
        <v>0</v>
      </c>
      <c r="G40" s="190">
        <v>5</v>
      </c>
      <c r="H40" s="46">
        <f t="shared" si="3"/>
        <v>-1</v>
      </c>
      <c r="I40" s="9"/>
      <c r="J40" s="225"/>
      <c r="K40" s="464">
        <v>0</v>
      </c>
      <c r="L40" s="655"/>
      <c r="M40" s="656"/>
      <c r="N40" s="657"/>
      <c r="O40" s="17"/>
      <c r="P40" s="9"/>
      <c r="Q40" s="9"/>
    </row>
    <row r="41" spans="1:19" ht="12.75" thickBot="1">
      <c r="A41" s="7" t="s">
        <v>71</v>
      </c>
      <c r="B41" s="202"/>
      <c r="C41" s="202"/>
      <c r="D41" s="202"/>
      <c r="E41" s="192"/>
      <c r="F41" s="202"/>
      <c r="G41" s="202"/>
      <c r="H41" s="203"/>
      <c r="I41" s="9"/>
      <c r="J41" s="534" t="s">
        <v>109</v>
      </c>
      <c r="K41" s="535"/>
      <c r="L41" s="538" t="s">
        <v>110</v>
      </c>
      <c r="M41" s="540" t="s">
        <v>20</v>
      </c>
      <c r="N41" s="532" t="s">
        <v>111</v>
      </c>
      <c r="O41" s="17"/>
      <c r="P41" s="9"/>
    </row>
    <row r="42" spans="1:19" ht="12.75" thickBot="1">
      <c r="A42" s="40" t="s">
        <v>22</v>
      </c>
      <c r="B42" s="12">
        <f>SUM(B34:B40)</f>
        <v>40</v>
      </c>
      <c r="C42" s="12"/>
      <c r="D42" s="13">
        <f>SUM(D34:D40)</f>
        <v>21</v>
      </c>
      <c r="E42" s="13">
        <f>SUM(E34:E41)</f>
        <v>1</v>
      </c>
      <c r="F42" s="13">
        <f>SUM(F34:F40)</f>
        <v>0</v>
      </c>
      <c r="G42" s="13">
        <f>SUM(G34:G40)</f>
        <v>24</v>
      </c>
      <c r="H42" s="14">
        <f>SUM(H34:H40)</f>
        <v>-17</v>
      </c>
      <c r="I42" s="9"/>
      <c r="J42" s="536"/>
      <c r="K42" s="537"/>
      <c r="L42" s="539"/>
      <c r="M42" s="541"/>
      <c r="N42" s="533"/>
      <c r="O42" s="17"/>
      <c r="P42" s="9"/>
    </row>
    <row r="43" spans="1:19" ht="12.75" thickBot="1">
      <c r="A43" s="43"/>
      <c r="B43" s="5"/>
      <c r="C43" s="209"/>
      <c r="D43" s="9"/>
      <c r="E43" s="9"/>
      <c r="F43" s="6"/>
      <c r="G43" s="9"/>
      <c r="H43" s="11"/>
      <c r="I43" s="9"/>
      <c r="J43" s="555" t="s">
        <v>108</v>
      </c>
      <c r="K43" s="556"/>
      <c r="L43" s="556"/>
      <c r="M43" s="556"/>
      <c r="N43" s="557"/>
      <c r="O43" s="17"/>
      <c r="P43" s="9"/>
    </row>
    <row r="44" spans="1:19" ht="12.75" customHeight="1">
      <c r="A44" s="35">
        <v>31</v>
      </c>
      <c r="B44" s="51">
        <v>4</v>
      </c>
      <c r="C44" s="219"/>
      <c r="D44" s="100">
        <v>0</v>
      </c>
      <c r="E44" s="100"/>
      <c r="F44" s="100">
        <v>3</v>
      </c>
      <c r="G44" s="100">
        <v>0</v>
      </c>
      <c r="H44" s="45">
        <f>(F44+G44)-(B44+E44)</f>
        <v>-1</v>
      </c>
      <c r="I44" s="9"/>
      <c r="J44" s="616">
        <v>11</v>
      </c>
      <c r="K44" s="617"/>
      <c r="L44" s="620">
        <v>0</v>
      </c>
      <c r="M44" s="620">
        <v>0</v>
      </c>
      <c r="N44" s="622">
        <v>11</v>
      </c>
    </row>
    <row r="45" spans="1:19" ht="13.5" customHeight="1" thickBot="1">
      <c r="A45" s="7">
        <v>33</v>
      </c>
      <c r="B45" s="53">
        <v>4</v>
      </c>
      <c r="C45" s="218"/>
      <c r="D45" s="102">
        <v>2</v>
      </c>
      <c r="E45" s="102"/>
      <c r="F45" s="102">
        <v>0</v>
      </c>
      <c r="G45" s="102">
        <v>0</v>
      </c>
      <c r="H45" s="41">
        <f>(F45+G45)-(B45+E45)</f>
        <v>-4</v>
      </c>
      <c r="I45" s="9"/>
      <c r="J45" s="618"/>
      <c r="K45" s="619"/>
      <c r="L45" s="621"/>
      <c r="M45" s="621"/>
      <c r="N45" s="623"/>
      <c r="O45" s="59" t="s">
        <v>6</v>
      </c>
    </row>
    <row r="46" spans="1:19" ht="15.75" customHeight="1" thickBot="1">
      <c r="A46" s="135" t="s">
        <v>22</v>
      </c>
      <c r="B46" s="136">
        <f t="shared" ref="B46:H46" si="4">SUM(B44:B45)</f>
        <v>8</v>
      </c>
      <c r="C46" s="136"/>
      <c r="D46" s="137">
        <f t="shared" si="4"/>
        <v>2</v>
      </c>
      <c r="E46" s="137">
        <f t="shared" si="4"/>
        <v>0</v>
      </c>
      <c r="F46" s="138">
        <f t="shared" si="4"/>
        <v>3</v>
      </c>
      <c r="G46" s="138">
        <f t="shared" si="4"/>
        <v>0</v>
      </c>
      <c r="H46" s="138">
        <f t="shared" si="4"/>
        <v>-5</v>
      </c>
      <c r="J46" s="658" t="s">
        <v>118</v>
      </c>
      <c r="K46" s="659"/>
      <c r="L46" s="659"/>
      <c r="M46" s="659"/>
      <c r="N46" s="660"/>
    </row>
    <row r="47" spans="1:19" ht="15.75" customHeight="1">
      <c r="D47" s="4"/>
      <c r="E47" s="4"/>
      <c r="F47" s="4"/>
      <c r="G47" s="4"/>
      <c r="H47" s="11"/>
      <c r="J47" s="661">
        <v>2</v>
      </c>
      <c r="K47" s="662"/>
      <c r="L47" s="665">
        <v>0</v>
      </c>
      <c r="M47" s="665">
        <v>0</v>
      </c>
      <c r="N47" s="667">
        <v>2</v>
      </c>
    </row>
    <row r="48" spans="1:19" ht="12.75" thickBot="1">
      <c r="J48" s="663"/>
      <c r="K48" s="664"/>
      <c r="L48" s="666"/>
      <c r="M48" s="666"/>
      <c r="N48" s="668"/>
    </row>
    <row r="49" spans="7:14">
      <c r="J49" s="9"/>
    </row>
    <row r="50" spans="7:14">
      <c r="L50" s="220" t="s">
        <v>6</v>
      </c>
      <c r="N50" s="220" t="s">
        <v>6</v>
      </c>
    </row>
    <row r="52" spans="7:14">
      <c r="J52" s="185" t="s">
        <v>6</v>
      </c>
    </row>
    <row r="54" spans="7:14">
      <c r="G54" s="220" t="s">
        <v>119</v>
      </c>
    </row>
  </sheetData>
  <sheetProtection password="9D31" sheet="1" objects="1" scenarios="1" selectLockedCells="1"/>
  <mergeCells count="77">
    <mergeCell ref="A1:O1"/>
    <mergeCell ref="K32:L33"/>
    <mergeCell ref="K34:L34"/>
    <mergeCell ref="M5:O5"/>
    <mergeCell ref="J21:O21"/>
    <mergeCell ref="M7:N7"/>
    <mergeCell ref="M8:N8"/>
    <mergeCell ref="M9:N9"/>
    <mergeCell ref="M10:N10"/>
    <mergeCell ref="M11:N11"/>
    <mergeCell ref="A8:E8"/>
    <mergeCell ref="H8:J8"/>
    <mergeCell ref="A2:T2"/>
    <mergeCell ref="F3:G3"/>
    <mergeCell ref="J3:K3"/>
    <mergeCell ref="A5:F5"/>
    <mergeCell ref="H5:K5"/>
    <mergeCell ref="A6:E6"/>
    <mergeCell ref="H6:J6"/>
    <mergeCell ref="A7:E7"/>
    <mergeCell ref="M6:N6"/>
    <mergeCell ref="A9:E9"/>
    <mergeCell ref="H9:J9"/>
    <mergeCell ref="A10:E10"/>
    <mergeCell ref="H10:J10"/>
    <mergeCell ref="A11:E11"/>
    <mergeCell ref="H11:J11"/>
    <mergeCell ref="A12:E12"/>
    <mergeCell ref="H12:J12"/>
    <mergeCell ref="M12:N12"/>
    <mergeCell ref="A13:E13"/>
    <mergeCell ref="H13:J13"/>
    <mergeCell ref="A16:H16"/>
    <mergeCell ref="M13:N13"/>
    <mergeCell ref="K22:K24"/>
    <mergeCell ref="L22:L24"/>
    <mergeCell ref="M22:M24"/>
    <mergeCell ref="J18:J20"/>
    <mergeCell ref="K18:K20"/>
    <mergeCell ref="L18:L20"/>
    <mergeCell ref="M18:M20"/>
    <mergeCell ref="N18:N20"/>
    <mergeCell ref="J16:P16"/>
    <mergeCell ref="P18:P20"/>
    <mergeCell ref="J32:J33"/>
    <mergeCell ref="O18:O20"/>
    <mergeCell ref="N22:N24"/>
    <mergeCell ref="O22:O24"/>
    <mergeCell ref="M32:N33"/>
    <mergeCell ref="J31:N31"/>
    <mergeCell ref="K35:L35"/>
    <mergeCell ref="K36:L36"/>
    <mergeCell ref="M34:N34"/>
    <mergeCell ref="M35:N35"/>
    <mergeCell ref="M36:N36"/>
    <mergeCell ref="J43:N43"/>
    <mergeCell ref="K37:L37"/>
    <mergeCell ref="M37:N37"/>
    <mergeCell ref="K40:L40"/>
    <mergeCell ref="M40:N40"/>
    <mergeCell ref="K38:L38"/>
    <mergeCell ref="K39:L39"/>
    <mergeCell ref="M38:N38"/>
    <mergeCell ref="M39:N39"/>
    <mergeCell ref="J41:K42"/>
    <mergeCell ref="L41:L42"/>
    <mergeCell ref="M41:M42"/>
    <mergeCell ref="N41:N42"/>
    <mergeCell ref="N47:N48"/>
    <mergeCell ref="J44:K45"/>
    <mergeCell ref="L44:L45"/>
    <mergeCell ref="M44:M45"/>
    <mergeCell ref="L47:L48"/>
    <mergeCell ref="M47:M48"/>
    <mergeCell ref="J46:N46"/>
    <mergeCell ref="N44:N45"/>
    <mergeCell ref="J47:K48"/>
  </mergeCells>
  <conditionalFormatting sqref="F34:F36 F38:F40 F18:F31">
    <cfRule type="cellIs" dxfId="76" priority="67" operator="greaterThanOrEqual">
      <formula>B18</formula>
    </cfRule>
  </conditionalFormatting>
  <conditionalFormatting sqref="G18:G31">
    <cfRule type="cellIs" dxfId="75" priority="66" operator="greaterThan">
      <formula>0</formula>
    </cfRule>
  </conditionalFormatting>
  <conditionalFormatting sqref="H44:H45 H34:H40 H18:H31">
    <cfRule type="cellIs" dxfId="74" priority="65" operator="lessThan">
      <formula>0</formula>
    </cfRule>
  </conditionalFormatting>
  <conditionalFormatting sqref="H44:H45 H34:H40 H18:H31">
    <cfRule type="cellIs" dxfId="73" priority="64" operator="greaterThanOrEqual">
      <formula>0</formula>
    </cfRule>
  </conditionalFormatting>
  <conditionalFormatting sqref="G18:G31">
    <cfRule type="cellIs" dxfId="72" priority="63" operator="equal">
      <formula>0</formula>
    </cfRule>
  </conditionalFormatting>
  <conditionalFormatting sqref="F34:F36 F38:F40 F18:F31">
    <cfRule type="cellIs" dxfId="71" priority="62" operator="lessThan">
      <formula>B18</formula>
    </cfRule>
  </conditionalFormatting>
  <conditionalFormatting sqref="G34:G36 G38:G40">
    <cfRule type="cellIs" dxfId="70" priority="59" operator="greaterThan">
      <formula>0</formula>
    </cfRule>
    <cfRule type="cellIs" dxfId="69" priority="60" operator="equal">
      <formula>0</formula>
    </cfRule>
  </conditionalFormatting>
  <conditionalFormatting sqref="H34:H40">
    <cfRule type="cellIs" dxfId="68" priority="57" operator="greaterThanOrEqual">
      <formula>0</formula>
    </cfRule>
    <cfRule type="cellIs" dxfId="67" priority="58" operator="lessThan">
      <formula>0</formula>
    </cfRule>
  </conditionalFormatting>
  <conditionalFormatting sqref="F44:F45">
    <cfRule type="cellIs" dxfId="66" priority="55" operator="lessThan">
      <formula>B44</formula>
    </cfRule>
  </conditionalFormatting>
  <conditionalFormatting sqref="F44:F45">
    <cfRule type="cellIs" dxfId="65" priority="54" operator="greaterThanOrEqual">
      <formula>B44</formula>
    </cfRule>
  </conditionalFormatting>
  <conditionalFormatting sqref="G37 G44:G45">
    <cfRule type="cellIs" dxfId="64" priority="52" operator="equal">
      <formula>0</formula>
    </cfRule>
    <cfRule type="cellIs" dxfId="63" priority="53" operator="greaterThan">
      <formula>0</formula>
    </cfRule>
  </conditionalFormatting>
  <conditionalFormatting sqref="H44:H45">
    <cfRule type="cellIs" dxfId="62" priority="50" operator="lessThan">
      <formula>0</formula>
    </cfRule>
    <cfRule type="cellIs" dxfId="61" priority="51" operator="greaterThanOrEqual">
      <formula>0</formula>
    </cfRule>
  </conditionalFormatting>
  <conditionalFormatting sqref="F37">
    <cfRule type="cellIs" dxfId="60" priority="48" operator="greaterThanOrEqual">
      <formula>$B$37</formula>
    </cfRule>
    <cfRule type="cellIs" dxfId="59" priority="49" operator="lessThan">
      <formula>$B$37</formula>
    </cfRule>
  </conditionalFormatting>
  <conditionalFormatting sqref="Q18:Q20 O18:O20 Q25:Q29">
    <cfRule type="cellIs" dxfId="58" priority="31" operator="between">
      <formula>1</formula>
      <formula>9</formula>
    </cfRule>
  </conditionalFormatting>
  <conditionalFormatting sqref="N18">
    <cfRule type="cellIs" dxfId="57" priority="26" operator="greaterThan">
      <formula>0</formula>
    </cfRule>
  </conditionalFormatting>
  <conditionalFormatting sqref="M18 M34:N37 N40 M38:M40">
    <cfRule type="cellIs" dxfId="56" priority="25" operator="greaterThan">
      <formula>0</formula>
    </cfRule>
  </conditionalFormatting>
  <conditionalFormatting sqref="O13 F13 K13">
    <cfRule type="cellIs" dxfId="55" priority="23" operator="greaterThan">
      <formula>-1</formula>
    </cfRule>
    <cfRule type="cellIs" dxfId="54" priority="24" operator="lessThan">
      <formula>0</formula>
    </cfRule>
  </conditionalFormatting>
  <conditionalFormatting sqref="O18:O20">
    <cfRule type="cellIs" dxfId="53" priority="5" operator="greaterThan">
      <formula>0</formula>
    </cfRule>
  </conditionalFormatting>
  <conditionalFormatting sqref="O25:O29">
    <cfRule type="cellIs" dxfId="52" priority="3" operator="lessThanOrEqual">
      <formula>0</formula>
    </cfRule>
    <cfRule type="cellIs" dxfId="51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U47"/>
  <sheetViews>
    <sheetView showGridLines="0" tabSelected="1" zoomScaleNormal="100" workbookViewId="0">
      <selection activeCell="O18" sqref="O18:O20"/>
    </sheetView>
  </sheetViews>
  <sheetFormatPr defaultColWidth="9.140625" defaultRowHeight="12"/>
  <cols>
    <col min="1" max="1" width="9.42578125" style="353" customWidth="1"/>
    <col min="2" max="3" width="13.140625" style="353" customWidth="1"/>
    <col min="4" max="4" width="9.140625" style="353" customWidth="1"/>
    <col min="5" max="5" width="12.85546875" style="353" customWidth="1"/>
    <col min="6" max="6" width="13.42578125" style="353" customWidth="1"/>
    <col min="7" max="7" width="10" style="353" customWidth="1"/>
    <col min="8" max="8" width="9.5703125" style="353" customWidth="1"/>
    <col min="9" max="9" width="10.85546875" style="353" customWidth="1"/>
    <col min="10" max="10" width="11" style="353" customWidth="1"/>
    <col min="11" max="11" width="9.85546875" style="353" customWidth="1"/>
    <col min="12" max="12" width="13.28515625" style="353" customWidth="1"/>
    <col min="13" max="13" width="15.42578125" style="353" customWidth="1"/>
    <col min="14" max="15" width="11.28515625" style="353" customWidth="1"/>
    <col min="16" max="16" width="12.42578125" style="353" customWidth="1"/>
    <col min="17" max="17" width="10.28515625" style="353" customWidth="1"/>
    <col min="18" max="18" width="9.7109375" style="353" customWidth="1"/>
    <col min="19" max="19" width="10" style="353" customWidth="1"/>
    <col min="20" max="20" width="8.7109375" style="353" customWidth="1"/>
    <col min="21" max="16384" width="9.140625" style="353"/>
  </cols>
  <sheetData>
    <row r="1" spans="1:21" ht="21" customHeight="1" thickBot="1">
      <c r="A1" s="387" t="s">
        <v>42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6"/>
      <c r="P1" s="346"/>
      <c r="Q1" s="346"/>
      <c r="R1" s="346"/>
      <c r="S1" s="346"/>
      <c r="T1" s="346"/>
      <c r="U1" s="228"/>
    </row>
    <row r="2" spans="1:21" ht="8.25" customHeight="1" thickBot="1">
      <c r="A2" s="603"/>
      <c r="B2" s="604"/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</row>
    <row r="3" spans="1:21" s="25" customFormat="1" ht="26.25" customHeight="1" thickBot="1">
      <c r="A3" s="98" t="s">
        <v>0</v>
      </c>
      <c r="B3" s="365">
        <v>43877</v>
      </c>
      <c r="C3" s="210"/>
      <c r="D3" s="20"/>
      <c r="E3" s="98" t="s">
        <v>1</v>
      </c>
      <c r="F3" s="605" t="s">
        <v>195</v>
      </c>
      <c r="G3" s="631"/>
      <c r="H3" s="21"/>
      <c r="I3" s="99" t="s">
        <v>51</v>
      </c>
      <c r="J3" s="605" t="s">
        <v>196</v>
      </c>
      <c r="K3" s="606"/>
      <c r="L3" s="22"/>
      <c r="M3" s="99" t="s">
        <v>2</v>
      </c>
      <c r="N3" s="360">
        <v>0.79166666666666663</v>
      </c>
      <c r="O3" s="22"/>
      <c r="P3" s="23"/>
      <c r="Q3" s="22"/>
      <c r="R3" s="350"/>
      <c r="S3" s="350"/>
      <c r="T3" s="22"/>
    </row>
    <row r="4" spans="1:21" ht="16.5" customHeight="1" thickBot="1">
      <c r="K4" s="345"/>
      <c r="L4" s="345"/>
      <c r="M4" s="345"/>
      <c r="N4" s="345"/>
      <c r="O4" s="345"/>
      <c r="P4" s="345"/>
      <c r="Q4" s="345"/>
      <c r="R4" s="17"/>
      <c r="S4" s="17"/>
      <c r="T4" s="345"/>
    </row>
    <row r="5" spans="1:21" ht="18" customHeight="1" thickBot="1">
      <c r="A5" s="632" t="s">
        <v>5</v>
      </c>
      <c r="B5" s="633"/>
      <c r="C5" s="633"/>
      <c r="D5" s="633"/>
      <c r="E5" s="633"/>
      <c r="F5" s="634"/>
      <c r="G5" s="228"/>
      <c r="H5" s="632" t="s">
        <v>7</v>
      </c>
      <c r="I5" s="633"/>
      <c r="J5" s="633"/>
      <c r="K5" s="634"/>
      <c r="M5" s="635" t="s">
        <v>13</v>
      </c>
      <c r="N5" s="447"/>
      <c r="O5" s="413"/>
      <c r="P5" s="68"/>
      <c r="S5" s="345"/>
    </row>
    <row r="6" spans="1:21" ht="17.25" customHeight="1">
      <c r="A6" s="612" t="s">
        <v>17</v>
      </c>
      <c r="B6" s="613"/>
      <c r="C6" s="613"/>
      <c r="D6" s="613"/>
      <c r="E6" s="613"/>
      <c r="F6" s="27">
        <f>'Sitrep 0830'!E6</f>
        <v>0</v>
      </c>
      <c r="G6" s="345"/>
      <c r="H6" s="612" t="s">
        <v>17</v>
      </c>
      <c r="I6" s="613"/>
      <c r="J6" s="613"/>
      <c r="K6" s="27">
        <f>'Sitrep 0830'!J6</f>
        <v>0</v>
      </c>
      <c r="M6" s="612" t="s">
        <v>17</v>
      </c>
      <c r="N6" s="636"/>
      <c r="O6" s="27">
        <f>F6+K6</f>
        <v>0</v>
      </c>
      <c r="S6" s="17"/>
    </row>
    <row r="7" spans="1:21" ht="12" customHeight="1">
      <c r="A7" s="614" t="s">
        <v>18</v>
      </c>
      <c r="B7" s="615"/>
      <c r="C7" s="615"/>
      <c r="D7" s="615"/>
      <c r="E7" s="615"/>
      <c r="F7" s="28">
        <f>'Sitrep 0830'!E7</f>
        <v>55</v>
      </c>
      <c r="G7" s="26"/>
      <c r="H7" s="351" t="s">
        <v>18</v>
      </c>
      <c r="I7" s="352"/>
      <c r="J7" s="352"/>
      <c r="K7" s="28">
        <f>'Sitrep 0830'!J7</f>
        <v>23</v>
      </c>
      <c r="M7" s="614" t="s">
        <v>14</v>
      </c>
      <c r="N7" s="630"/>
      <c r="O7" s="28">
        <f t="shared" ref="O7:O13" si="0">F7+K7</f>
        <v>78</v>
      </c>
      <c r="S7" s="345"/>
    </row>
    <row r="8" spans="1:21" ht="12" customHeight="1">
      <c r="A8" s="614" t="s">
        <v>19</v>
      </c>
      <c r="B8" s="615"/>
      <c r="C8" s="615"/>
      <c r="D8" s="615"/>
      <c r="E8" s="615"/>
      <c r="F8" s="29">
        <f>SUM(F6:F7)</f>
        <v>55</v>
      </c>
      <c r="G8" s="26"/>
      <c r="H8" s="581" t="s">
        <v>19</v>
      </c>
      <c r="I8" s="582"/>
      <c r="J8" s="582"/>
      <c r="K8" s="29">
        <f>SUM(K6:K7)</f>
        <v>23</v>
      </c>
      <c r="M8" s="614" t="s">
        <v>19</v>
      </c>
      <c r="N8" s="630"/>
      <c r="O8" s="29">
        <f t="shared" si="0"/>
        <v>78</v>
      </c>
      <c r="S8" s="345"/>
    </row>
    <row r="9" spans="1:21" ht="12" customHeight="1">
      <c r="A9" s="624" t="s">
        <v>4</v>
      </c>
      <c r="B9" s="625"/>
      <c r="C9" s="625"/>
      <c r="D9" s="625"/>
      <c r="E9" s="626"/>
      <c r="F9" s="343">
        <v>43</v>
      </c>
      <c r="G9" s="345"/>
      <c r="H9" s="627" t="s">
        <v>4</v>
      </c>
      <c r="I9" s="628"/>
      <c r="J9" s="629"/>
      <c r="K9" s="343">
        <v>11</v>
      </c>
      <c r="M9" s="614" t="s">
        <v>4</v>
      </c>
      <c r="N9" s="630"/>
      <c r="O9" s="87">
        <f t="shared" si="0"/>
        <v>54</v>
      </c>
      <c r="Q9" s="345"/>
      <c r="R9" s="345"/>
      <c r="S9" s="345"/>
    </row>
    <row r="10" spans="1:21" ht="12" customHeight="1">
      <c r="A10" s="614" t="s">
        <v>3</v>
      </c>
      <c r="B10" s="615"/>
      <c r="C10" s="615"/>
      <c r="D10" s="615"/>
      <c r="E10" s="615"/>
      <c r="F10" s="30">
        <f>F8-F9</f>
        <v>12</v>
      </c>
      <c r="G10" s="345"/>
      <c r="H10" s="581" t="s">
        <v>3</v>
      </c>
      <c r="I10" s="582"/>
      <c r="J10" s="582"/>
      <c r="K10" s="30">
        <f>K8-K9</f>
        <v>12</v>
      </c>
      <c r="M10" s="614" t="s">
        <v>3</v>
      </c>
      <c r="N10" s="630"/>
      <c r="O10" s="30">
        <f t="shared" si="0"/>
        <v>24</v>
      </c>
      <c r="Q10" s="345"/>
      <c r="R10" s="345"/>
      <c r="S10" s="345"/>
    </row>
    <row r="11" spans="1:21" ht="12.75">
      <c r="A11" s="624" t="s">
        <v>8</v>
      </c>
      <c r="B11" s="625"/>
      <c r="C11" s="625"/>
      <c r="D11" s="625"/>
      <c r="E11" s="626"/>
      <c r="F11" s="31">
        <f>D32</f>
        <v>8</v>
      </c>
      <c r="G11" s="345"/>
      <c r="H11" s="627" t="s">
        <v>8</v>
      </c>
      <c r="I11" s="628"/>
      <c r="J11" s="629"/>
      <c r="K11" s="31">
        <f>SUM(D34:D35,D38:D40,D43:D44,D37)</f>
        <v>21</v>
      </c>
      <c r="M11" s="614" t="s">
        <v>8</v>
      </c>
      <c r="N11" s="630"/>
      <c r="O11" s="31">
        <f t="shared" si="0"/>
        <v>29</v>
      </c>
      <c r="Q11" s="350" t="s">
        <v>6</v>
      </c>
      <c r="R11" s="350"/>
      <c r="S11" s="18"/>
    </row>
    <row r="12" spans="1:21" ht="12.75">
      <c r="A12" s="581" t="s">
        <v>26</v>
      </c>
      <c r="B12" s="582"/>
      <c r="C12" s="582"/>
      <c r="D12" s="582"/>
      <c r="E12" s="582"/>
      <c r="F12" s="32">
        <f>F32</f>
        <v>1</v>
      </c>
      <c r="G12" s="4"/>
      <c r="H12" s="581" t="s">
        <v>26</v>
      </c>
      <c r="I12" s="582"/>
      <c r="J12" s="582"/>
      <c r="K12" s="32">
        <f>SUM(F34:F35,F38:F40,F43:F44,F37)</f>
        <v>0</v>
      </c>
      <c r="M12" s="581" t="s">
        <v>26</v>
      </c>
      <c r="N12" s="630"/>
      <c r="O12" s="32">
        <f t="shared" si="0"/>
        <v>1</v>
      </c>
      <c r="Q12" s="350"/>
      <c r="R12" s="350"/>
      <c r="S12" s="18"/>
    </row>
    <row r="13" spans="1:21" ht="13.5" thickBot="1">
      <c r="A13" s="583" t="s">
        <v>12</v>
      </c>
      <c r="B13" s="584"/>
      <c r="C13" s="584"/>
      <c r="D13" s="584"/>
      <c r="E13" s="584"/>
      <c r="F13" s="33">
        <f>(F11+F12)-F10</f>
        <v>-3</v>
      </c>
      <c r="G13" s="4"/>
      <c r="H13" s="583" t="s">
        <v>12</v>
      </c>
      <c r="I13" s="584"/>
      <c r="J13" s="584"/>
      <c r="K13" s="33">
        <f>(K11+K12)-K10</f>
        <v>9</v>
      </c>
      <c r="M13" s="583" t="s">
        <v>12</v>
      </c>
      <c r="N13" s="637"/>
      <c r="O13" s="33">
        <f t="shared" si="0"/>
        <v>6</v>
      </c>
      <c r="P13" s="228"/>
      <c r="Q13" s="350"/>
      <c r="R13" s="350"/>
      <c r="S13" s="345"/>
    </row>
    <row r="14" spans="1:21">
      <c r="P14" s="228"/>
      <c r="Q14" s="345"/>
      <c r="R14" s="345"/>
      <c r="S14" s="345"/>
    </row>
    <row r="15" spans="1:21" ht="12.75" thickBot="1">
      <c r="I15" s="228"/>
      <c r="J15" s="228"/>
      <c r="K15" s="228"/>
      <c r="L15" s="228"/>
      <c r="M15" s="228"/>
      <c r="N15" s="228"/>
      <c r="O15" s="345"/>
      <c r="P15" s="228"/>
      <c r="Q15" s="345"/>
      <c r="R15" s="345"/>
      <c r="S15" s="228"/>
      <c r="T15" s="228"/>
      <c r="U15" s="228"/>
    </row>
    <row r="16" spans="1:21" ht="13.5" customHeight="1" thickBot="1">
      <c r="A16" s="387" t="s">
        <v>32</v>
      </c>
      <c r="B16" s="638"/>
      <c r="C16" s="638"/>
      <c r="D16" s="638"/>
      <c r="E16" s="638"/>
      <c r="F16" s="638"/>
      <c r="G16" s="638"/>
      <c r="H16" s="639"/>
      <c r="I16" s="62"/>
      <c r="J16" s="387" t="s">
        <v>185</v>
      </c>
      <c r="K16" s="580"/>
      <c r="L16" s="580"/>
      <c r="M16" s="580"/>
      <c r="N16" s="580"/>
      <c r="O16" s="580"/>
      <c r="P16" s="388"/>
      <c r="Q16" s="60"/>
      <c r="R16" s="18"/>
      <c r="S16" s="346"/>
      <c r="T16" s="346"/>
      <c r="U16" s="228"/>
    </row>
    <row r="17" spans="1:18" ht="60.75" thickBot="1">
      <c r="A17" s="54" t="s">
        <v>9</v>
      </c>
      <c r="B17" s="50" t="s">
        <v>47</v>
      </c>
      <c r="C17" s="207" t="s">
        <v>122</v>
      </c>
      <c r="D17" s="55" t="s">
        <v>31</v>
      </c>
      <c r="E17" s="49" t="s">
        <v>70</v>
      </c>
      <c r="F17" s="55" t="s">
        <v>112</v>
      </c>
      <c r="G17" s="49" t="s">
        <v>68</v>
      </c>
      <c r="H17" s="349" t="s">
        <v>24</v>
      </c>
      <c r="I17" s="345"/>
      <c r="J17" s="67" t="s">
        <v>37</v>
      </c>
      <c r="K17" s="67" t="s">
        <v>38</v>
      </c>
      <c r="L17" s="67" t="s">
        <v>39</v>
      </c>
      <c r="M17" s="67" t="s">
        <v>46</v>
      </c>
      <c r="N17" s="67" t="s">
        <v>40</v>
      </c>
      <c r="O17" s="67" t="s">
        <v>41</v>
      </c>
      <c r="P17" s="67" t="s">
        <v>187</v>
      </c>
      <c r="Q17" s="1"/>
      <c r="R17" s="345"/>
    </row>
    <row r="18" spans="1:18">
      <c r="A18" s="35" t="s">
        <v>10</v>
      </c>
      <c r="B18" s="51">
        <v>22</v>
      </c>
      <c r="C18" s="211"/>
      <c r="D18" s="357">
        <v>0</v>
      </c>
      <c r="E18" s="357">
        <v>2</v>
      </c>
      <c r="F18" s="357">
        <v>1</v>
      </c>
      <c r="G18" s="357">
        <v>15</v>
      </c>
      <c r="H18" s="45">
        <f>(F18+G18)-(B18+E18)</f>
        <v>-8</v>
      </c>
      <c r="I18" s="345"/>
      <c r="J18" s="645">
        <v>37</v>
      </c>
      <c r="K18" s="588" t="s">
        <v>206</v>
      </c>
      <c r="L18" s="588" t="s">
        <v>207</v>
      </c>
      <c r="M18" s="588">
        <v>6</v>
      </c>
      <c r="N18" s="588">
        <v>10</v>
      </c>
      <c r="O18" s="593">
        <v>20</v>
      </c>
      <c r="P18" s="451">
        <v>155</v>
      </c>
      <c r="Q18" s="345"/>
      <c r="R18" s="345"/>
    </row>
    <row r="19" spans="1:18">
      <c r="A19" s="36">
        <v>13</v>
      </c>
      <c r="B19" s="52">
        <v>5</v>
      </c>
      <c r="C19" s="212"/>
      <c r="D19" s="355">
        <v>0</v>
      </c>
      <c r="E19" s="355"/>
      <c r="F19" s="355">
        <v>0</v>
      </c>
      <c r="G19" s="355">
        <v>0</v>
      </c>
      <c r="H19" s="46">
        <f t="shared" ref="H19:H31" si="1">(F19+G19)-(B19+E19)</f>
        <v>-5</v>
      </c>
      <c r="I19" s="345"/>
      <c r="J19" s="646"/>
      <c r="K19" s="648"/>
      <c r="L19" s="648"/>
      <c r="M19" s="648"/>
      <c r="N19" s="648"/>
      <c r="O19" s="594"/>
      <c r="P19" s="671"/>
      <c r="Q19" s="345"/>
      <c r="R19" s="345"/>
    </row>
    <row r="20" spans="1:18" ht="12.75" customHeight="1" thickBot="1">
      <c r="A20" s="36">
        <v>9</v>
      </c>
      <c r="B20" s="52">
        <v>1</v>
      </c>
      <c r="C20" s="212"/>
      <c r="D20" s="355">
        <v>0</v>
      </c>
      <c r="E20" s="355"/>
      <c r="F20" s="355">
        <v>0</v>
      </c>
      <c r="G20" s="355">
        <v>0</v>
      </c>
      <c r="H20" s="46">
        <f t="shared" si="1"/>
        <v>-1</v>
      </c>
      <c r="I20" s="345"/>
      <c r="J20" s="647"/>
      <c r="K20" s="649"/>
      <c r="L20" s="649"/>
      <c r="M20" s="649"/>
      <c r="N20" s="649"/>
      <c r="O20" s="595"/>
      <c r="P20" s="452"/>
      <c r="Q20" s="345"/>
      <c r="R20" s="345"/>
    </row>
    <row r="21" spans="1:18" ht="13.5" thickBot="1">
      <c r="A21" s="36">
        <v>22</v>
      </c>
      <c r="B21" s="52">
        <v>3</v>
      </c>
      <c r="C21" s="217"/>
      <c r="D21" s="355">
        <v>1</v>
      </c>
      <c r="E21" s="355"/>
      <c r="F21" s="355">
        <v>0</v>
      </c>
      <c r="G21" s="355">
        <v>2</v>
      </c>
      <c r="H21" s="46">
        <f t="shared" si="1"/>
        <v>-1</v>
      </c>
      <c r="I21" s="345"/>
      <c r="J21" s="642" t="s">
        <v>36</v>
      </c>
      <c r="K21" s="643"/>
      <c r="L21" s="643"/>
      <c r="M21" s="643"/>
      <c r="N21" s="643"/>
      <c r="O21" s="644"/>
      <c r="P21" s="346"/>
      <c r="Q21" s="346"/>
    </row>
    <row r="22" spans="1:18" ht="12" customHeight="1">
      <c r="A22" s="36" t="s">
        <v>21</v>
      </c>
      <c r="B22" s="52">
        <v>10</v>
      </c>
      <c r="C22" s="217"/>
      <c r="D22" s="355">
        <v>1</v>
      </c>
      <c r="E22" s="355"/>
      <c r="F22" s="355">
        <v>0</v>
      </c>
      <c r="G22" s="355">
        <v>3</v>
      </c>
      <c r="H22" s="46">
        <f t="shared" si="1"/>
        <v>-7</v>
      </c>
      <c r="I22" s="345"/>
      <c r="J22" s="347" t="s">
        <v>36</v>
      </c>
      <c r="K22" s="382" t="s">
        <v>31</v>
      </c>
      <c r="L22" s="382" t="s">
        <v>44</v>
      </c>
      <c r="M22" s="382" t="s">
        <v>67</v>
      </c>
      <c r="N22" s="382" t="s">
        <v>35</v>
      </c>
      <c r="O22" s="380" t="s">
        <v>24</v>
      </c>
      <c r="Q22" s="345"/>
    </row>
    <row r="23" spans="1:18" ht="12.75">
      <c r="A23" s="36">
        <v>32</v>
      </c>
      <c r="B23" s="52">
        <v>3</v>
      </c>
      <c r="C23" s="217"/>
      <c r="D23" s="355">
        <v>0</v>
      </c>
      <c r="E23" s="355"/>
      <c r="F23" s="355">
        <v>0</v>
      </c>
      <c r="G23" s="355">
        <v>0</v>
      </c>
      <c r="H23" s="46">
        <f t="shared" si="1"/>
        <v>-3</v>
      </c>
      <c r="I23" s="345"/>
      <c r="J23" s="354"/>
      <c r="K23" s="381"/>
      <c r="L23" s="381"/>
      <c r="M23" s="381"/>
      <c r="N23" s="381"/>
      <c r="O23" s="381"/>
      <c r="Q23" s="345"/>
    </row>
    <row r="24" spans="1:18" ht="13.5" thickBot="1">
      <c r="A24" s="36">
        <v>33</v>
      </c>
      <c r="B24" s="52">
        <v>1</v>
      </c>
      <c r="C24" s="217"/>
      <c r="D24" s="355">
        <v>0</v>
      </c>
      <c r="E24" s="355"/>
      <c r="F24" s="355">
        <v>0</v>
      </c>
      <c r="G24" s="355">
        <v>0</v>
      </c>
      <c r="H24" s="46">
        <f t="shared" si="1"/>
        <v>-1</v>
      </c>
      <c r="I24" s="345"/>
      <c r="J24" s="354"/>
      <c r="K24" s="381"/>
      <c r="L24" s="381"/>
      <c r="M24" s="381"/>
      <c r="N24" s="381"/>
      <c r="O24" s="381"/>
      <c r="Q24" s="345"/>
      <c r="R24" s="353" t="s">
        <v>6</v>
      </c>
    </row>
    <row r="25" spans="1:18">
      <c r="A25" s="36">
        <v>34</v>
      </c>
      <c r="B25" s="52">
        <v>3</v>
      </c>
      <c r="C25" s="217"/>
      <c r="D25" s="355">
        <v>1</v>
      </c>
      <c r="E25" s="355"/>
      <c r="F25" s="355">
        <v>0</v>
      </c>
      <c r="G25" s="355">
        <v>1</v>
      </c>
      <c r="H25" s="46">
        <f t="shared" si="1"/>
        <v>-2</v>
      </c>
      <c r="I25" s="345"/>
      <c r="J25" s="348" t="s">
        <v>84</v>
      </c>
      <c r="K25" s="146">
        <v>3</v>
      </c>
      <c r="L25" s="146">
        <v>0</v>
      </c>
      <c r="M25" s="146">
        <v>0</v>
      </c>
      <c r="N25" s="146">
        <v>0</v>
      </c>
      <c r="O25" s="45">
        <f>(K25+N25)-M25</f>
        <v>3</v>
      </c>
      <c r="Q25" s="345"/>
    </row>
    <row r="26" spans="1:18">
      <c r="A26" s="36">
        <v>41</v>
      </c>
      <c r="B26" s="52">
        <v>3</v>
      </c>
      <c r="C26" s="217"/>
      <c r="D26" s="355">
        <v>1</v>
      </c>
      <c r="E26" s="355"/>
      <c r="F26" s="355">
        <v>0</v>
      </c>
      <c r="G26" s="355">
        <v>0</v>
      </c>
      <c r="H26" s="46">
        <f t="shared" si="1"/>
        <v>-3</v>
      </c>
      <c r="I26" s="345"/>
      <c r="J26" s="342" t="s">
        <v>30</v>
      </c>
      <c r="K26" s="372">
        <v>2</v>
      </c>
      <c r="L26" s="372">
        <v>0</v>
      </c>
      <c r="M26" s="372">
        <v>0</v>
      </c>
      <c r="N26" s="372">
        <v>0</v>
      </c>
      <c r="O26" s="46">
        <f t="shared" ref="O26:O29" si="2">(K26+N26)-M26</f>
        <v>2</v>
      </c>
      <c r="Q26" s="345" t="s">
        <v>6</v>
      </c>
    </row>
    <row r="27" spans="1:18">
      <c r="A27" s="36">
        <v>42</v>
      </c>
      <c r="B27" s="52">
        <v>3</v>
      </c>
      <c r="C27" s="217"/>
      <c r="D27" s="355">
        <v>0</v>
      </c>
      <c r="E27" s="355"/>
      <c r="F27" s="355">
        <v>0</v>
      </c>
      <c r="G27" s="355">
        <v>0</v>
      </c>
      <c r="H27" s="46">
        <f t="shared" si="1"/>
        <v>-3</v>
      </c>
      <c r="I27" s="345"/>
      <c r="J27" s="342" t="s">
        <v>29</v>
      </c>
      <c r="K27" s="372">
        <v>2</v>
      </c>
      <c r="L27" s="372">
        <v>0</v>
      </c>
      <c r="M27" s="372">
        <v>1</v>
      </c>
      <c r="N27" s="372">
        <v>0</v>
      </c>
      <c r="O27" s="46">
        <f t="shared" si="2"/>
        <v>1</v>
      </c>
      <c r="Q27" s="345"/>
    </row>
    <row r="28" spans="1:18">
      <c r="A28" s="36">
        <v>43</v>
      </c>
      <c r="B28" s="52">
        <v>5</v>
      </c>
      <c r="C28" s="217"/>
      <c r="D28" s="355">
        <v>1</v>
      </c>
      <c r="E28" s="355"/>
      <c r="F28" s="355">
        <v>0</v>
      </c>
      <c r="G28" s="355">
        <v>1</v>
      </c>
      <c r="H28" s="46">
        <f t="shared" si="1"/>
        <v>-4</v>
      </c>
      <c r="I28" s="345"/>
      <c r="J28" s="342" t="s">
        <v>27</v>
      </c>
      <c r="K28" s="372">
        <v>1</v>
      </c>
      <c r="L28" s="372">
        <v>0</v>
      </c>
      <c r="M28" s="372">
        <v>0</v>
      </c>
      <c r="N28" s="372">
        <v>0</v>
      </c>
      <c r="O28" s="46">
        <f t="shared" si="2"/>
        <v>1</v>
      </c>
      <c r="Q28" s="345"/>
    </row>
    <row r="29" spans="1:18" ht="12.75" thickBot="1">
      <c r="A29" s="36">
        <v>44</v>
      </c>
      <c r="B29" s="52">
        <v>5</v>
      </c>
      <c r="C29" s="217"/>
      <c r="D29" s="355">
        <v>3</v>
      </c>
      <c r="E29" s="355"/>
      <c r="F29" s="355">
        <v>0</v>
      </c>
      <c r="G29" s="355">
        <v>2</v>
      </c>
      <c r="H29" s="46">
        <f t="shared" si="1"/>
        <v>-3</v>
      </c>
      <c r="I29" s="345"/>
      <c r="J29" s="344" t="s">
        <v>28</v>
      </c>
      <c r="K29" s="105">
        <v>2</v>
      </c>
      <c r="L29" s="105">
        <v>0</v>
      </c>
      <c r="M29" s="105">
        <v>0</v>
      </c>
      <c r="N29" s="105">
        <v>0</v>
      </c>
      <c r="O29" s="41">
        <f t="shared" si="2"/>
        <v>2</v>
      </c>
      <c r="Q29" s="345"/>
    </row>
    <row r="30" spans="1:18" ht="12.75" thickBot="1">
      <c r="A30" s="129">
        <v>51</v>
      </c>
      <c r="B30" s="130">
        <v>3</v>
      </c>
      <c r="C30" s="244"/>
      <c r="D30" s="131">
        <v>0</v>
      </c>
      <c r="E30" s="131"/>
      <c r="F30" s="131">
        <v>0</v>
      </c>
      <c r="G30" s="131">
        <v>0</v>
      </c>
      <c r="H30" s="46">
        <f t="shared" si="1"/>
        <v>-3</v>
      </c>
      <c r="I30" s="345"/>
      <c r="Q30" s="345"/>
    </row>
    <row r="31" spans="1:18" ht="13.5" thickBot="1">
      <c r="A31" s="7">
        <v>54</v>
      </c>
      <c r="B31" s="53">
        <v>1</v>
      </c>
      <c r="C31" s="218"/>
      <c r="D31" s="358">
        <v>0</v>
      </c>
      <c r="E31" s="358"/>
      <c r="F31" s="245">
        <v>0</v>
      </c>
      <c r="G31" s="245">
        <v>0</v>
      </c>
      <c r="H31" s="46">
        <f t="shared" si="1"/>
        <v>-1</v>
      </c>
      <c r="I31" s="345"/>
      <c r="J31" s="448" t="s">
        <v>69</v>
      </c>
      <c r="K31" s="449"/>
      <c r="L31" s="449"/>
      <c r="M31" s="449"/>
      <c r="N31" s="450"/>
      <c r="O31" s="69"/>
      <c r="P31" s="17"/>
      <c r="Q31" s="345"/>
    </row>
    <row r="32" spans="1:18" ht="13.5" thickBot="1">
      <c r="A32" s="40" t="s">
        <v>22</v>
      </c>
      <c r="B32" s="12">
        <f>SUM(B18:B31)</f>
        <v>68</v>
      </c>
      <c r="C32" s="12"/>
      <c r="D32" s="13">
        <f>SUM(D18:D30)</f>
        <v>8</v>
      </c>
      <c r="E32" s="13">
        <f>SUM(E18:E30)</f>
        <v>2</v>
      </c>
      <c r="F32" s="14">
        <f>SUM(F18:F30)</f>
        <v>1</v>
      </c>
      <c r="G32" s="14">
        <f>SUM(G18:G30)</f>
        <v>24</v>
      </c>
      <c r="H32" s="14">
        <f>SUM(H18:H31)</f>
        <v>-45</v>
      </c>
      <c r="I32" s="345"/>
      <c r="J32" s="382" t="s">
        <v>9</v>
      </c>
      <c r="K32" s="439" t="s">
        <v>15</v>
      </c>
      <c r="L32" s="650"/>
      <c r="M32" s="576" t="s">
        <v>33</v>
      </c>
      <c r="N32" s="650"/>
      <c r="O32" s="18"/>
      <c r="P32" s="345"/>
      <c r="Q32" s="345"/>
    </row>
    <row r="33" spans="1:17" ht="13.5" thickBot="1">
      <c r="A33" s="43"/>
      <c r="B33" s="228"/>
      <c r="C33" s="228"/>
      <c r="D33" s="345"/>
      <c r="E33" s="345"/>
      <c r="F33" s="6"/>
      <c r="G33" s="345"/>
      <c r="H33" s="11"/>
      <c r="I33" s="345"/>
      <c r="J33" s="561"/>
      <c r="K33" s="651"/>
      <c r="L33" s="652"/>
      <c r="M33" s="651"/>
      <c r="N33" s="652"/>
      <c r="O33" s="18"/>
      <c r="P33" s="18"/>
      <c r="Q33" s="345"/>
    </row>
    <row r="34" spans="1:17" ht="12.75">
      <c r="A34" s="35" t="s">
        <v>11</v>
      </c>
      <c r="B34" s="51">
        <v>8</v>
      </c>
      <c r="C34" s="219"/>
      <c r="D34" s="357">
        <v>9</v>
      </c>
      <c r="E34" s="357">
        <v>1</v>
      </c>
      <c r="F34" s="357">
        <v>0</v>
      </c>
      <c r="G34" s="357">
        <v>6</v>
      </c>
      <c r="H34" s="45">
        <f>(F34+G34)-(B34+E34)</f>
        <v>-3</v>
      </c>
      <c r="I34" s="345"/>
      <c r="J34" s="110" t="s">
        <v>182</v>
      </c>
      <c r="K34" s="531">
        <v>10</v>
      </c>
      <c r="L34" s="473"/>
      <c r="M34" s="531" t="s">
        <v>205</v>
      </c>
      <c r="N34" s="474"/>
      <c r="O34" s="70"/>
      <c r="P34" s="345"/>
      <c r="Q34" s="345"/>
    </row>
    <row r="35" spans="1:17" ht="12.75">
      <c r="A35" s="36" t="s">
        <v>16</v>
      </c>
      <c r="B35" s="52">
        <v>6</v>
      </c>
      <c r="C35" s="217"/>
      <c r="D35" s="355">
        <v>1</v>
      </c>
      <c r="E35" s="355"/>
      <c r="F35" s="355">
        <v>0</v>
      </c>
      <c r="G35" s="355">
        <v>2</v>
      </c>
      <c r="H35" s="46">
        <f t="shared" ref="H35:H40" si="3">(F35+G35)-(B35+E35)</f>
        <v>-4</v>
      </c>
      <c r="I35" s="345"/>
      <c r="J35" s="111">
        <v>13</v>
      </c>
      <c r="K35" s="548">
        <v>14</v>
      </c>
      <c r="L35" s="476"/>
      <c r="M35" s="548">
        <v>14</v>
      </c>
      <c r="N35" s="477"/>
      <c r="O35" s="17"/>
      <c r="P35" s="345"/>
      <c r="Q35" s="345"/>
    </row>
    <row r="36" spans="1:17" ht="12.75">
      <c r="A36" s="36">
        <v>10</v>
      </c>
      <c r="B36" s="130">
        <v>4</v>
      </c>
      <c r="C36" s="217"/>
      <c r="D36" s="355">
        <v>6</v>
      </c>
      <c r="E36" s="355"/>
      <c r="F36" s="355">
        <v>0</v>
      </c>
      <c r="G36" s="355">
        <v>3</v>
      </c>
      <c r="H36" s="46">
        <f t="shared" si="3"/>
        <v>-1</v>
      </c>
      <c r="I36" s="345"/>
      <c r="J36" s="111">
        <v>4</v>
      </c>
      <c r="K36" s="669">
        <v>0</v>
      </c>
      <c r="L36" s="670"/>
      <c r="M36" s="549">
        <v>12</v>
      </c>
      <c r="N36" s="477"/>
      <c r="O36" s="17"/>
      <c r="P36" s="345"/>
      <c r="Q36" s="345"/>
    </row>
    <row r="37" spans="1:17" ht="12.75">
      <c r="A37" s="36">
        <v>9</v>
      </c>
      <c r="B37" s="52">
        <v>4</v>
      </c>
      <c r="C37" s="217"/>
      <c r="D37" s="355">
        <v>5</v>
      </c>
      <c r="E37" s="355"/>
      <c r="F37" s="355">
        <v>0</v>
      </c>
      <c r="G37" s="355">
        <v>4</v>
      </c>
      <c r="H37" s="46">
        <f>(F37+G37)-(B37+E37)</f>
        <v>0</v>
      </c>
      <c r="I37" s="345"/>
      <c r="J37" s="111" t="s">
        <v>197</v>
      </c>
      <c r="K37" s="669">
        <v>0</v>
      </c>
      <c r="L37" s="670"/>
      <c r="M37" s="549">
        <v>7</v>
      </c>
      <c r="N37" s="653"/>
      <c r="O37" s="17"/>
      <c r="P37" s="345"/>
      <c r="Q37" s="345"/>
    </row>
    <row r="38" spans="1:17" ht="13.5" customHeight="1">
      <c r="A38" s="36">
        <v>52</v>
      </c>
      <c r="B38" s="198">
        <v>6</v>
      </c>
      <c r="C38" s="217"/>
      <c r="D38" s="355">
        <v>1</v>
      </c>
      <c r="E38" s="355"/>
      <c r="F38" s="355">
        <v>0</v>
      </c>
      <c r="G38" s="355">
        <v>2</v>
      </c>
      <c r="H38" s="46">
        <f t="shared" si="3"/>
        <v>-4</v>
      </c>
      <c r="I38" s="345"/>
      <c r="J38" s="111"/>
      <c r="K38" s="669">
        <v>0</v>
      </c>
      <c r="L38" s="669"/>
      <c r="M38" s="548"/>
      <c r="N38" s="654"/>
      <c r="O38" s="17"/>
      <c r="P38" s="345"/>
      <c r="Q38" s="345"/>
    </row>
    <row r="39" spans="1:17" ht="13.5" customHeight="1" thickBot="1">
      <c r="A39" s="36">
        <v>53</v>
      </c>
      <c r="B39" s="52">
        <v>6</v>
      </c>
      <c r="C39" s="217"/>
      <c r="D39" s="355">
        <v>1</v>
      </c>
      <c r="E39" s="355"/>
      <c r="F39" s="355">
        <v>0</v>
      </c>
      <c r="G39" s="355">
        <v>2</v>
      </c>
      <c r="H39" s="46">
        <f t="shared" si="3"/>
        <v>-4</v>
      </c>
      <c r="I39" s="345"/>
      <c r="J39" s="225"/>
      <c r="K39" s="464">
        <v>0</v>
      </c>
      <c r="L39" s="464"/>
      <c r="M39" s="656"/>
      <c r="N39" s="672"/>
      <c r="O39" s="17"/>
      <c r="P39" s="345"/>
      <c r="Q39" s="345"/>
    </row>
    <row r="40" spans="1:17" ht="12.75" thickBot="1">
      <c r="A40" s="7">
        <v>54</v>
      </c>
      <c r="B40" s="53">
        <v>6</v>
      </c>
      <c r="C40" s="218"/>
      <c r="D40" s="358">
        <v>0</v>
      </c>
      <c r="E40" s="358"/>
      <c r="F40" s="358">
        <v>0</v>
      </c>
      <c r="G40" s="358">
        <v>5</v>
      </c>
      <c r="H40" s="41">
        <f t="shared" si="3"/>
        <v>-1</v>
      </c>
      <c r="I40" s="345"/>
      <c r="J40" s="534" t="s">
        <v>109</v>
      </c>
      <c r="K40" s="535"/>
      <c r="L40" s="538" t="s">
        <v>110</v>
      </c>
      <c r="M40" s="540" t="s">
        <v>20</v>
      </c>
      <c r="N40" s="532" t="s">
        <v>111</v>
      </c>
      <c r="O40" s="17"/>
      <c r="P40" s="345"/>
      <c r="Q40" s="345"/>
    </row>
    <row r="41" spans="1:17" ht="12.75" thickBot="1">
      <c r="A41" s="40" t="s">
        <v>22</v>
      </c>
      <c r="B41" s="12">
        <f t="shared" ref="B41:H41" si="4">SUM(B34:B40)</f>
        <v>40</v>
      </c>
      <c r="C41" s="12"/>
      <c r="D41" s="13">
        <f t="shared" si="4"/>
        <v>23</v>
      </c>
      <c r="E41" s="13">
        <f t="shared" si="4"/>
        <v>1</v>
      </c>
      <c r="F41" s="14">
        <f t="shared" si="4"/>
        <v>0</v>
      </c>
      <c r="G41" s="14">
        <f t="shared" si="4"/>
        <v>24</v>
      </c>
      <c r="H41" s="14">
        <f t="shared" si="4"/>
        <v>-17</v>
      </c>
      <c r="I41" s="345"/>
      <c r="J41" s="536"/>
      <c r="K41" s="537"/>
      <c r="L41" s="539"/>
      <c r="M41" s="541"/>
      <c r="N41" s="533"/>
      <c r="O41" s="17"/>
      <c r="P41" s="345"/>
    </row>
    <row r="42" spans="1:17" ht="12.75" thickBot="1">
      <c r="A42" s="43"/>
      <c r="B42" s="228"/>
      <c r="C42" s="228"/>
      <c r="D42" s="345"/>
      <c r="E42" s="345"/>
      <c r="F42" s="6"/>
      <c r="G42" s="345"/>
      <c r="H42" s="11"/>
      <c r="I42" s="345"/>
      <c r="J42" s="555" t="s">
        <v>108</v>
      </c>
      <c r="K42" s="556"/>
      <c r="L42" s="556"/>
      <c r="M42" s="556"/>
      <c r="N42" s="557"/>
      <c r="O42" s="17"/>
      <c r="P42" s="345"/>
    </row>
    <row r="43" spans="1:17" ht="12.75" customHeight="1">
      <c r="A43" s="35">
        <v>31</v>
      </c>
      <c r="B43" s="51">
        <v>4</v>
      </c>
      <c r="C43" s="219"/>
      <c r="D43" s="357">
        <v>1</v>
      </c>
      <c r="E43" s="357"/>
      <c r="F43" s="357">
        <v>0</v>
      </c>
      <c r="G43" s="357">
        <v>3</v>
      </c>
      <c r="H43" s="45">
        <f>(F43+G43)-(B43+E43)</f>
        <v>-1</v>
      </c>
      <c r="I43" s="345"/>
      <c r="J43" s="616">
        <v>10</v>
      </c>
      <c r="K43" s="617"/>
      <c r="L43" s="620">
        <v>0</v>
      </c>
      <c r="M43" s="620">
        <v>4</v>
      </c>
      <c r="N43" s="622">
        <v>6</v>
      </c>
      <c r="O43" s="17"/>
      <c r="P43" s="345"/>
    </row>
    <row r="44" spans="1:17" ht="13.5" customHeight="1" thickBot="1">
      <c r="A44" s="7">
        <v>33</v>
      </c>
      <c r="B44" s="53">
        <v>4</v>
      </c>
      <c r="C44" s="218"/>
      <c r="D44" s="358">
        <v>3</v>
      </c>
      <c r="E44" s="358"/>
      <c r="F44" s="358">
        <v>0</v>
      </c>
      <c r="G44" s="358">
        <v>1</v>
      </c>
      <c r="H44" s="41">
        <f>(F44+G44)-(B44+E44)</f>
        <v>-3</v>
      </c>
      <c r="I44" s="345"/>
      <c r="J44" s="618"/>
      <c r="K44" s="619"/>
      <c r="L44" s="621"/>
      <c r="M44" s="621"/>
      <c r="N44" s="623"/>
    </row>
    <row r="45" spans="1:17" ht="12.75" thickBot="1">
      <c r="A45" s="229" t="s">
        <v>22</v>
      </c>
      <c r="B45" s="230">
        <f t="shared" ref="B45:H45" si="5">SUM(B43:B44)</f>
        <v>8</v>
      </c>
      <c r="C45" s="230"/>
      <c r="D45" s="13">
        <f t="shared" si="5"/>
        <v>4</v>
      </c>
      <c r="E45" s="13">
        <f t="shared" si="5"/>
        <v>0</v>
      </c>
      <c r="F45" s="14">
        <f t="shared" si="5"/>
        <v>0</v>
      </c>
      <c r="G45" s="14">
        <f t="shared" si="5"/>
        <v>4</v>
      </c>
      <c r="H45" s="14">
        <f t="shared" si="5"/>
        <v>-4</v>
      </c>
      <c r="I45" s="345"/>
      <c r="J45" s="658" t="s">
        <v>118</v>
      </c>
      <c r="K45" s="659"/>
      <c r="L45" s="659"/>
      <c r="M45" s="659"/>
      <c r="N45" s="660"/>
      <c r="O45" s="353" t="s">
        <v>6</v>
      </c>
    </row>
    <row r="46" spans="1:17" ht="9.75" customHeight="1">
      <c r="A46" s="296"/>
      <c r="B46" s="297"/>
      <c r="C46" s="297"/>
      <c r="D46" s="300"/>
      <c r="E46" s="345"/>
      <c r="F46" s="345"/>
      <c r="G46" s="345"/>
      <c r="H46" s="345"/>
      <c r="J46" s="661">
        <v>2</v>
      </c>
      <c r="K46" s="662"/>
      <c r="L46" s="673">
        <v>0</v>
      </c>
      <c r="M46" s="665">
        <v>0</v>
      </c>
      <c r="N46" s="667">
        <v>2</v>
      </c>
    </row>
    <row r="47" spans="1:17" ht="13.5" customHeight="1" thickBot="1">
      <c r="J47" s="663"/>
      <c r="K47" s="664"/>
      <c r="L47" s="674"/>
      <c r="M47" s="666"/>
      <c r="N47" s="668"/>
    </row>
  </sheetData>
  <sheetProtection password="9D31" sheet="1" objects="1" scenarios="1" selectLockedCells="1"/>
  <mergeCells count="75">
    <mergeCell ref="J46:K47"/>
    <mergeCell ref="L46:L47"/>
    <mergeCell ref="M46:M47"/>
    <mergeCell ref="N46:N47"/>
    <mergeCell ref="J42:N42"/>
    <mergeCell ref="J43:K44"/>
    <mergeCell ref="L43:L44"/>
    <mergeCell ref="M43:M44"/>
    <mergeCell ref="N43:N44"/>
    <mergeCell ref="J45:N45"/>
    <mergeCell ref="K38:L38"/>
    <mergeCell ref="M38:N38"/>
    <mergeCell ref="K39:L39"/>
    <mergeCell ref="M39:N39"/>
    <mergeCell ref="J40:K41"/>
    <mergeCell ref="L40:L41"/>
    <mergeCell ref="M40:M41"/>
    <mergeCell ref="N40:N41"/>
    <mergeCell ref="K35:L35"/>
    <mergeCell ref="M35:N35"/>
    <mergeCell ref="K36:L36"/>
    <mergeCell ref="M36:N36"/>
    <mergeCell ref="K37:L37"/>
    <mergeCell ref="M37:N37"/>
    <mergeCell ref="J31:N31"/>
    <mergeCell ref="J32:J33"/>
    <mergeCell ref="K32:L33"/>
    <mergeCell ref="M32:N33"/>
    <mergeCell ref="K34:L34"/>
    <mergeCell ref="M34:N34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A13:E13"/>
    <mergeCell ref="H13:J13"/>
    <mergeCell ref="M13:N13"/>
    <mergeCell ref="A16:H16"/>
    <mergeCell ref="J16:P16"/>
    <mergeCell ref="A11:E11"/>
    <mergeCell ref="H11:J11"/>
    <mergeCell ref="M11:N11"/>
    <mergeCell ref="A12:E12"/>
    <mergeCell ref="H12:J12"/>
    <mergeCell ref="M12:N12"/>
    <mergeCell ref="A9:E9"/>
    <mergeCell ref="H9:J9"/>
    <mergeCell ref="M9:N9"/>
    <mergeCell ref="A10:E10"/>
    <mergeCell ref="H10:J10"/>
    <mergeCell ref="M10:N10"/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</mergeCells>
  <conditionalFormatting sqref="F34:F36 F38:F40 F18:F31">
    <cfRule type="cellIs" dxfId="50" priority="26" operator="greaterThanOrEqual">
      <formula>B18</formula>
    </cfRule>
  </conditionalFormatting>
  <conditionalFormatting sqref="G18:G31">
    <cfRule type="cellIs" dxfId="49" priority="25" operator="greaterThan">
      <formula>0</formula>
    </cfRule>
  </conditionalFormatting>
  <conditionalFormatting sqref="H43:H44 H34:H40 H18:H31">
    <cfRule type="cellIs" dxfId="48" priority="24" operator="lessThan">
      <formula>0</formula>
    </cfRule>
  </conditionalFormatting>
  <conditionalFormatting sqref="H43:H44 H34:H40 H18:H31">
    <cfRule type="cellIs" dxfId="47" priority="23" operator="greaterThanOrEqual">
      <formula>0</formula>
    </cfRule>
  </conditionalFormatting>
  <conditionalFormatting sqref="G18:G31">
    <cfRule type="cellIs" dxfId="46" priority="22" operator="equal">
      <formula>0</formula>
    </cfRule>
  </conditionalFormatting>
  <conditionalFormatting sqref="F34:F36 F38:F40 F18:F31">
    <cfRule type="cellIs" dxfId="45" priority="21" operator="lessThan">
      <formula>B18</formula>
    </cfRule>
  </conditionalFormatting>
  <conditionalFormatting sqref="G34:G36 G38:G40">
    <cfRule type="cellIs" dxfId="44" priority="19" operator="greaterThan">
      <formula>0</formula>
    </cfRule>
    <cfRule type="cellIs" dxfId="43" priority="20" operator="equal">
      <formula>0</formula>
    </cfRule>
  </conditionalFormatting>
  <conditionalFormatting sqref="H34:H40">
    <cfRule type="cellIs" dxfId="42" priority="17" operator="greaterThanOrEqual">
      <formula>0</formula>
    </cfRule>
    <cfRule type="cellIs" dxfId="41" priority="18" operator="lessThan">
      <formula>0</formula>
    </cfRule>
  </conditionalFormatting>
  <conditionalFormatting sqref="F43:F44">
    <cfRule type="cellIs" dxfId="40" priority="16" operator="lessThan">
      <formula>B43</formula>
    </cfRule>
  </conditionalFormatting>
  <conditionalFormatting sqref="F43:F44">
    <cfRule type="cellIs" dxfId="39" priority="15" operator="greaterThanOrEqual">
      <formula>B43</formula>
    </cfRule>
  </conditionalFormatting>
  <conditionalFormatting sqref="G37 G43:G44">
    <cfRule type="cellIs" dxfId="38" priority="13" operator="equal">
      <formula>0</formula>
    </cfRule>
    <cfRule type="cellIs" dxfId="37" priority="14" operator="greaterThan">
      <formula>0</formula>
    </cfRule>
  </conditionalFormatting>
  <conditionalFormatting sqref="H43:H44">
    <cfRule type="cellIs" dxfId="36" priority="11" operator="lessThan">
      <formula>0</formula>
    </cfRule>
    <cfRule type="cellIs" dxfId="35" priority="12" operator="greaterThanOrEqual">
      <formula>0</formula>
    </cfRule>
  </conditionalFormatting>
  <conditionalFormatting sqref="F37">
    <cfRule type="cellIs" dxfId="34" priority="9" operator="greaterThanOrEqual">
      <formula>$B$37</formula>
    </cfRule>
    <cfRule type="cellIs" dxfId="33" priority="10" operator="lessThan">
      <formula>$B$37</formula>
    </cfRule>
  </conditionalFormatting>
  <conditionalFormatting sqref="Q18:Q20 O18:O20 Q25:Q29">
    <cfRule type="cellIs" dxfId="32" priority="8" operator="between">
      <formula>1</formula>
      <formula>9</formula>
    </cfRule>
  </conditionalFormatting>
  <conditionalFormatting sqref="N18">
    <cfRule type="cellIs" dxfId="31" priority="7" operator="greaterThan">
      <formula>0</formula>
    </cfRule>
  </conditionalFormatting>
  <conditionalFormatting sqref="M18 M34:N37 M38:M39">
    <cfRule type="cellIs" dxfId="30" priority="6" operator="greaterThan">
      <formula>0</formula>
    </cfRule>
  </conditionalFormatting>
  <conditionalFormatting sqref="O13 F13 K13">
    <cfRule type="cellIs" dxfId="29" priority="4" operator="greaterThan">
      <formula>-1</formula>
    </cfRule>
    <cfRule type="cellIs" dxfId="28" priority="5" operator="lessThan">
      <formula>0</formula>
    </cfRule>
  </conditionalFormatting>
  <conditionalFormatting sqref="O25:O29">
    <cfRule type="cellIs" dxfId="27" priority="2" operator="lessThanOrEqual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/>
  <cols>
    <col min="1" max="1" width="9.140625" hidden="1" customWidth="1"/>
    <col min="2" max="2" width="2.85546875" customWidth="1"/>
    <col min="3" max="6" width="22.42578125" customWidth="1"/>
  </cols>
  <sheetData>
    <row r="1" spans="1:6" ht="33.75">
      <c r="C1" s="702">
        <f>'Sitrep 0830'!E3</f>
        <v>0</v>
      </c>
      <c r="D1" s="702"/>
      <c r="E1" s="703">
        <f>'Sitrep 0830'!B3</f>
        <v>0</v>
      </c>
      <c r="F1" s="703"/>
    </row>
    <row r="2" spans="1:6" ht="13.5" thickBot="1"/>
    <row r="3" spans="1:6" ht="24" thickBot="1">
      <c r="A3" s="248" t="s">
        <v>126</v>
      </c>
      <c r="C3" s="254" t="s">
        <v>125</v>
      </c>
      <c r="D3" s="704"/>
      <c r="E3" s="705"/>
      <c r="F3" s="706"/>
    </row>
    <row r="4" spans="1:6" ht="15.75" thickBot="1">
      <c r="A4" s="248" t="s">
        <v>139</v>
      </c>
      <c r="C4" s="275"/>
      <c r="D4" s="274"/>
      <c r="E4" s="274"/>
      <c r="F4" s="274"/>
    </row>
    <row r="5" spans="1:6" ht="13.5" thickBot="1">
      <c r="A5" s="248" t="s">
        <v>140</v>
      </c>
      <c r="C5" s="701" t="s">
        <v>134</v>
      </c>
      <c r="D5" s="691"/>
      <c r="E5" s="691"/>
      <c r="F5" s="692"/>
    </row>
    <row r="6" spans="1:6">
      <c r="A6" s="248" t="s">
        <v>141</v>
      </c>
      <c r="C6" s="700" t="s">
        <v>131</v>
      </c>
      <c r="D6" s="676"/>
      <c r="E6" s="676"/>
      <c r="F6" s="267" t="e">
        <f>SUM('Safety Huddle'!I7:J7)</f>
        <v>#DIV/0!</v>
      </c>
    </row>
    <row r="7" spans="1:6">
      <c r="A7" s="248" t="s">
        <v>142</v>
      </c>
      <c r="C7" s="699" t="s">
        <v>133</v>
      </c>
      <c r="D7" s="678"/>
      <c r="E7" s="678"/>
      <c r="F7" s="268">
        <f>SUM('Sitrep 0830'!N18:N20)</f>
        <v>0</v>
      </c>
    </row>
    <row r="8" spans="1:6" ht="12.75" customHeight="1">
      <c r="A8" s="248" t="s">
        <v>143</v>
      </c>
      <c r="C8" s="699" t="s">
        <v>132</v>
      </c>
      <c r="D8" s="678"/>
      <c r="E8" s="678"/>
      <c r="F8" s="269">
        <f>SUM('Sitrep 0830'!O18:O20)</f>
        <v>0</v>
      </c>
    </row>
    <row r="9" spans="1:6" ht="15" customHeight="1">
      <c r="A9" s="248" t="s">
        <v>144</v>
      </c>
      <c r="C9" s="697" t="s">
        <v>129</v>
      </c>
      <c r="D9" s="698"/>
      <c r="E9" s="698"/>
      <c r="F9" s="250">
        <f>(SUM('Sitrep 0830'!R18:R20))+(SUM('Sitrep 0830'!Q44:Q45))</f>
        <v>0</v>
      </c>
    </row>
    <row r="10" spans="1:6" ht="13.5" thickBot="1">
      <c r="A10" s="248" t="s">
        <v>145</v>
      </c>
      <c r="C10" s="695" t="s">
        <v>155</v>
      </c>
      <c r="D10" s="696"/>
      <c r="E10" s="696"/>
      <c r="F10" s="259">
        <f>SUM('Sitrep 0830'!S18:S20)</f>
        <v>0</v>
      </c>
    </row>
    <row r="11" spans="1:6" ht="13.5" thickBot="1"/>
    <row r="12" spans="1:6" ht="13.5" thickBot="1">
      <c r="A12" t="s">
        <v>113</v>
      </c>
      <c r="C12" s="693" t="s">
        <v>95</v>
      </c>
      <c r="D12" s="694"/>
      <c r="E12" s="693" t="s">
        <v>128</v>
      </c>
      <c r="F12" s="694"/>
    </row>
    <row r="13" spans="1:6">
      <c r="A13" t="s">
        <v>149</v>
      </c>
      <c r="C13" s="272" t="s">
        <v>123</v>
      </c>
      <c r="D13" s="273" t="s">
        <v>124</v>
      </c>
      <c r="E13" s="272" t="s">
        <v>160</v>
      </c>
      <c r="F13" s="273" t="s">
        <v>159</v>
      </c>
    </row>
    <row r="14" spans="1:6" ht="13.5" thickBot="1">
      <c r="C14" s="267">
        <f>((((SUM('Night Capacity Report'!A8:A21)+15)-((IF((SUM('Sitrep 0830'!O44:P45))&gt;0,(7-(SUM('Sitrep 0830'!O44:P45))),0))+(SUM('Sitrep 0830'!O29))+'Sitrep 0830'!D32)))+((IF('Sitrep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0830'!R39:S39)),0))))/((SUM('Night Capacity Report'!A8:A21)+15))</f>
        <v>1</v>
      </c>
      <c r="D14" s="267">
        <f>((((SUM('Night Capacity Report'!A24:A30)+(SUM('Night Capacity Report'!A33:A34)))-('Sitrep 0830'!D42+'Sitrep 0830'!D46)))+((IF('Sitrep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0830'!R39:S39)),0))))/(SUM('Night Capacity Report'!A24:A30)+(SUM('Night Capacity Report'!A33:A34)))</f>
        <v>1</v>
      </c>
      <c r="E14" s="251">
        <f>SUM('Sitrep 0830'!B32,'Sitrep 0830'!B42,'Sitrep 0830'!B46)</f>
        <v>0</v>
      </c>
      <c r="F14" s="259">
        <f>SUM('Sitrep 0830'!C32,'Sitrep 0830'!C42,'Sitrep 0830'!C46)</f>
        <v>0</v>
      </c>
    </row>
    <row r="15" spans="1:6">
      <c r="C15" s="255" t="s">
        <v>161</v>
      </c>
      <c r="D15" s="250">
        <f>SUM('Sitrep 0830'!R34:S40)</f>
        <v>0</v>
      </c>
      <c r="E15" s="270" t="s">
        <v>163</v>
      </c>
      <c r="F15" s="271" t="s">
        <v>135</v>
      </c>
    </row>
    <row r="16" spans="1:6" ht="13.5" thickBot="1">
      <c r="C16" s="262" t="s">
        <v>162</v>
      </c>
      <c r="D16" s="263">
        <f>((((SUM('Night Capacity Report'!A24:A30)+(SUM('Night Capacity Report'!A33:A34)))-('Sitrep 0830'!D42+'Sitrep 0830'!D46))+((((SUM('Night Capacity Report'!A8:A21)+15)-((SUM('Sitrep 0830'!O44:P45))+(SUM('Sitrep 0830'!O29))+'Sitrep 0830'!D32))+((IF('Sitrep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0830'!R39:S39)),0))+ 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0830'!R39:S39)),0)))))))/((SUM('Night Capacity Report'!A24:A30)+(SUM('Night Capacity Report'!A33:A34)))+((SUM('Night Capacity Report'!A8:A21)+15))))</f>
        <v>1</v>
      </c>
      <c r="E16" s="251">
        <f>SUM('Sitrep 0830'!O25:O29)</f>
        <v>0</v>
      </c>
      <c r="F16" s="259">
        <f>'Sitrep 0830'!O25</f>
        <v>0</v>
      </c>
    </row>
    <row r="17" spans="3:6" ht="13.5" thickBot="1"/>
    <row r="18" spans="3:6">
      <c r="C18" s="685" t="s">
        <v>138</v>
      </c>
      <c r="D18" s="686"/>
      <c r="E18" s="687" t="s">
        <v>156</v>
      </c>
      <c r="F18" s="686"/>
    </row>
    <row r="19" spans="3:6">
      <c r="C19" s="255" t="s">
        <v>136</v>
      </c>
      <c r="D19" s="261" t="s">
        <v>35</v>
      </c>
      <c r="E19" s="264" t="s">
        <v>136</v>
      </c>
      <c r="F19" s="261" t="s">
        <v>35</v>
      </c>
    </row>
    <row r="20" spans="3:6">
      <c r="C20" s="249"/>
      <c r="D20" s="250"/>
      <c r="E20" s="265">
        <f>'Sitrep 0830'!P7</f>
        <v>78</v>
      </c>
      <c r="F20" s="250">
        <f>'Sitrep 0830'!P12</f>
        <v>10</v>
      </c>
    </row>
    <row r="21" spans="3:6" ht="13.5" thickBot="1">
      <c r="C21" s="262" t="s">
        <v>137</v>
      </c>
      <c r="D21" s="281">
        <f>D20-C20</f>
        <v>0</v>
      </c>
      <c r="E21" s="266" t="s">
        <v>137</v>
      </c>
      <c r="F21" s="281">
        <f>F20-E20</f>
        <v>-68</v>
      </c>
    </row>
    <row r="22" spans="3:6" ht="13.5" thickBot="1"/>
    <row r="23" spans="3:6">
      <c r="C23" s="685" t="s">
        <v>157</v>
      </c>
      <c r="D23" s="686"/>
      <c r="E23" s="688" t="s">
        <v>170</v>
      </c>
      <c r="F23" s="689"/>
    </row>
    <row r="24" spans="3:6">
      <c r="C24" s="277" t="s">
        <v>172</v>
      </c>
      <c r="D24" s="261" t="s">
        <v>158</v>
      </c>
      <c r="E24" s="264" t="s">
        <v>169</v>
      </c>
      <c r="F24" s="261" t="s">
        <v>171</v>
      </c>
    </row>
    <row r="25" spans="3:6">
      <c r="C25" s="249"/>
      <c r="D25" s="250"/>
      <c r="E25" s="265"/>
      <c r="F25" s="250"/>
    </row>
    <row r="26" spans="3:6" ht="13.5" thickBot="1">
      <c r="C26" s="262" t="s">
        <v>164</v>
      </c>
      <c r="D26" s="263" t="e">
        <f>D25/C25</f>
        <v>#DIV/0!</v>
      </c>
      <c r="E26" s="266"/>
      <c r="F26" s="263"/>
    </row>
    <row r="27" spans="3:6" ht="13.5" thickBot="1"/>
    <row r="28" spans="3:6" ht="13.5" thickBot="1">
      <c r="C28" s="257"/>
      <c r="D28" s="282" t="s">
        <v>147</v>
      </c>
    </row>
    <row r="29" spans="3:6" ht="13.5" thickBot="1">
      <c r="C29" s="256" t="s">
        <v>146</v>
      </c>
      <c r="D29" s="279"/>
    </row>
    <row r="30" spans="3:6" ht="13.5" thickBot="1"/>
    <row r="31" spans="3:6" ht="13.5" thickBot="1">
      <c r="C31" s="690" t="s">
        <v>148</v>
      </c>
      <c r="D31" s="691"/>
      <c r="E31" s="691"/>
      <c r="F31" s="692"/>
    </row>
    <row r="32" spans="3:6">
      <c r="C32" s="675" t="s">
        <v>150</v>
      </c>
      <c r="D32" s="676"/>
      <c r="E32" s="676"/>
      <c r="F32" s="268"/>
    </row>
    <row r="33" spans="3:6">
      <c r="C33" s="677" t="s">
        <v>165</v>
      </c>
      <c r="D33" s="678"/>
      <c r="E33" s="678"/>
      <c r="F33" s="268"/>
    </row>
    <row r="34" spans="3:6" ht="13.5" thickBot="1">
      <c r="C34" s="677" t="s">
        <v>151</v>
      </c>
      <c r="D34" s="678"/>
      <c r="E34" s="678"/>
      <c r="F34" s="276"/>
    </row>
    <row r="35" spans="3:6">
      <c r="C35" s="679" t="s">
        <v>152</v>
      </c>
      <c r="D35" s="680"/>
      <c r="E35" s="680"/>
      <c r="F35" s="681"/>
    </row>
    <row r="36" spans="3:6">
      <c r="C36" s="675" t="s">
        <v>154</v>
      </c>
      <c r="D36" s="684"/>
      <c r="E36" s="682" t="s">
        <v>168</v>
      </c>
      <c r="F36" s="683"/>
    </row>
    <row r="37" spans="3:6">
      <c r="C37" s="84" t="s">
        <v>166</v>
      </c>
      <c r="D37" s="260" t="s">
        <v>167</v>
      </c>
      <c r="E37" s="280" t="s">
        <v>166</v>
      </c>
      <c r="F37" s="261" t="s">
        <v>167</v>
      </c>
    </row>
    <row r="38" spans="3:6" ht="12.75" customHeight="1" thickBot="1">
      <c r="C38" s="251"/>
      <c r="D38" s="258"/>
      <c r="E38" s="278"/>
      <c r="F38" s="259"/>
    </row>
    <row r="39" spans="3:6">
      <c r="C39" s="711" t="s">
        <v>153</v>
      </c>
      <c r="D39" s="712"/>
      <c r="E39" s="712"/>
      <c r="F39" s="713"/>
    </row>
    <row r="40" spans="3:6">
      <c r="C40" s="714" t="s">
        <v>154</v>
      </c>
      <c r="D40" s="715"/>
      <c r="E40" s="716" t="s">
        <v>148</v>
      </c>
      <c r="F40" s="717"/>
    </row>
    <row r="41" spans="3:6" ht="12.75" customHeight="1" thickBot="1">
      <c r="C41" s="707"/>
      <c r="D41" s="708"/>
      <c r="E41" s="709"/>
      <c r="F41" s="710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25" priority="27" operator="equal">
      <formula>"Critical"</formula>
    </cfRule>
    <cfRule type="cellIs" dxfId="24" priority="28" operator="between">
      <formula>"Red Level 1"</formula>
      <formula>"Red Level 3"</formula>
    </cfRule>
    <cfRule type="cellIs" dxfId="23" priority="29" operator="between">
      <formula>"Amber Level 1"</formula>
      <formula>"Amber Level 3"</formula>
    </cfRule>
    <cfRule type="cellIs" dxfId="22" priority="30" operator="equal">
      <formula>"Green"</formula>
    </cfRule>
  </conditionalFormatting>
  <conditionalFormatting sqref="D14">
    <cfRule type="cellIs" dxfId="21" priority="19" operator="greaterThanOrEqual">
      <formula>1</formula>
    </cfRule>
    <cfRule type="cellIs" dxfId="20" priority="20" operator="between">
      <formula>0.951</formula>
      <formula>0.999</formula>
    </cfRule>
    <cfRule type="cellIs" dxfId="19" priority="21" operator="between">
      <formula>0.901</formula>
      <formula>0.95</formula>
    </cfRule>
    <cfRule type="cellIs" dxfId="18" priority="22" operator="between">
      <formula>0.85</formula>
      <formula>0.9</formula>
    </cfRule>
  </conditionalFormatting>
  <conditionalFormatting sqref="C14">
    <cfRule type="cellIs" dxfId="17" priority="15" operator="greaterThan">
      <formula>1.05</formula>
    </cfRule>
    <cfRule type="cellIs" dxfId="16" priority="16" operator="between">
      <formula>1</formula>
      <formula>1.05</formula>
    </cfRule>
    <cfRule type="cellIs" dxfId="15" priority="17" operator="between">
      <formula>0.981</formula>
      <formula>0.999</formula>
    </cfRule>
    <cfRule type="cellIs" dxfId="14" priority="18" operator="greaterThanOrEqual">
      <formula>0.98</formula>
    </cfRule>
  </conditionalFormatting>
  <conditionalFormatting sqref="F9">
    <cfRule type="cellIs" dxfId="13" priority="11" operator="greaterThan">
      <formula>10</formula>
    </cfRule>
    <cfRule type="cellIs" dxfId="12" priority="12" operator="between">
      <formula>6</formula>
      <formula>10</formula>
    </cfRule>
    <cfRule type="cellIs" dxfId="11" priority="13" operator="between">
      <formula>3</formula>
      <formula>5</formula>
    </cfRule>
    <cfRule type="cellIs" dxfId="10" priority="14" operator="between">
      <formula>0</formula>
      <formula>2</formula>
    </cfRule>
  </conditionalFormatting>
  <conditionalFormatting sqref="F1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1</formula>
    </cfRule>
    <cfRule type="cellIs" dxfId="6" priority="10" operator="greaterThan">
      <formula>2</formula>
    </cfRule>
  </conditionalFormatting>
  <conditionalFormatting sqref="F14">
    <cfRule type="cellIs" dxfId="5" priority="3" operator="greaterThanOrEqual">
      <formula>30</formula>
    </cfRule>
    <cfRule type="cellIs" dxfId="4" priority="4" operator="between">
      <formula>20</formula>
      <formula>29</formula>
    </cfRule>
    <cfRule type="cellIs" dxfId="3" priority="5" operator="between">
      <formula>11</formula>
      <formula>19</formula>
    </cfRule>
    <cfRule type="cellIs" dxfId="2" priority="6" operator="lessThan">
      <formula>11</formula>
    </cfRule>
  </conditionalFormatting>
  <conditionalFormatting sqref="F34">
    <cfRule type="cellIs" dxfId="1" priority="1" operator="lessThan">
      <formula>1</formula>
    </cfRule>
    <cfRule type="cellIs" dxfId="0" priority="2" operator="greaterThanOrEqual">
      <formula>1</formula>
    </cfRule>
  </conditionalFormatting>
  <dataValidations count="3">
    <dataValidation type="list" allowBlank="1" showInputMessage="1" showErrorMessage="1" sqref="D29">
      <formula1>$A$12:$A$13</formula1>
    </dataValidation>
    <dataValidation type="list" allowBlank="1" showInputMessage="1" showErrorMessage="1" sqref="D4:F4">
      <formula1>$A$3:$A$5</formula1>
    </dataValidation>
    <dataValidation type="list" allowBlank="1" showInputMessage="1" showErrorMessage="1" sqref="D3:F3">
      <formula1>$A$3:$A$10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Night Capacity Report</vt:lpstr>
      <vt:lpstr>Safety Huddle</vt:lpstr>
      <vt:lpstr>Sitrep 0830</vt:lpstr>
      <vt:lpstr>Sitrep 1300</vt:lpstr>
      <vt:lpstr>Sitrep 1700</vt:lpstr>
      <vt:lpstr>Sitrep 1900</vt:lpstr>
      <vt:lpstr>Rag Status</vt:lpstr>
      <vt:lpstr>'Safety Huddle'!Print_Area</vt:lpstr>
      <vt:lpstr>'Sitrep 0830'!Print_Area</vt:lpstr>
      <vt:lpstr>'Sitrep 1900'!Print_Area</vt:lpstr>
    </vt:vector>
  </TitlesOfParts>
  <Company>NHS FIFE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doyleja</cp:lastModifiedBy>
  <cp:lastPrinted>2019-01-16T10:09:59Z</cp:lastPrinted>
  <dcterms:created xsi:type="dcterms:W3CDTF">2012-12-07T14:30:54Z</dcterms:created>
  <dcterms:modified xsi:type="dcterms:W3CDTF">2020-02-16T19:09:46Z</dcterms:modified>
</cp:coreProperties>
</file>