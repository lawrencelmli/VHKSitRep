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rawings/drawing3.xml" ContentType="application/vnd.openxmlformats-officedocument.drawing+xml"/>
  <Override PartName="/xl/diagrams/data3.xml" ContentType="application/vnd.openxmlformats-officedocument.drawingml.diagramData+xml"/>
  <Override PartName="/xl/diagrams/layout3.xml" ContentType="application/vnd.openxmlformats-officedocument.drawingml.diagramLayout+xml"/>
  <Override PartName="/xl/diagrams/quickStyle3.xml" ContentType="application/vnd.openxmlformats-officedocument.drawingml.diagramStyle+xml"/>
  <Override PartName="/xl/diagrams/colors3.xml" ContentType="application/vnd.openxmlformats-officedocument.drawingml.diagramColors+xml"/>
  <Override PartName="/xl/diagrams/drawing3.xml" ContentType="application/vnd.ms-office.drawingml.diagramDrawing+xml"/>
  <Override PartName="/xl/drawings/drawing4.xml" ContentType="application/vnd.openxmlformats-officedocument.drawing+xml"/>
  <Override PartName="/xl/diagrams/data4.xml" ContentType="application/vnd.openxmlformats-officedocument.drawingml.diagramData+xml"/>
  <Override PartName="/xl/diagrams/layout4.xml" ContentType="application/vnd.openxmlformats-officedocument.drawingml.diagramLayout+xml"/>
  <Override PartName="/xl/diagrams/quickStyle4.xml" ContentType="application/vnd.openxmlformats-officedocument.drawingml.diagramStyle+xml"/>
  <Override PartName="/xl/diagrams/colors4.xml" ContentType="application/vnd.openxmlformats-officedocument.drawingml.diagramColors+xml"/>
  <Override PartName="/xl/diagrams/drawing4.xml" ContentType="application/vnd.ms-office.drawingml.diagramDrawing+xml"/>
  <Override PartName="/xl/drawings/drawing5.xml" ContentType="application/vnd.openxmlformats-officedocument.drawing+xml"/>
  <Override PartName="/xl/diagrams/data5.xml" ContentType="application/vnd.openxmlformats-officedocument.drawingml.diagramData+xml"/>
  <Override PartName="/xl/diagrams/layout5.xml" ContentType="application/vnd.openxmlformats-officedocument.drawingml.diagramLayout+xml"/>
  <Override PartName="/xl/diagrams/quickStyle5.xml" ContentType="application/vnd.openxmlformats-officedocument.drawingml.diagramStyle+xml"/>
  <Override PartName="/xl/diagrams/colors5.xml" ContentType="application/vnd.openxmlformats-officedocument.drawingml.diagramColors+xml"/>
  <Override PartName="/xl/diagrams/drawing5.xml" ContentType="application/vnd.ms-office.drawingml.diagram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624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Lawrence\Documents\R_Projects\VHKSitRep\"/>
    </mc:Choice>
  </mc:AlternateContent>
  <xr:revisionPtr revIDLastSave="0" documentId="13_ncr:1_{2D74A9D7-0177-4134-9FD3-B0FFFBC7E8EB}" xr6:coauthVersionLast="45" xr6:coauthVersionMax="45" xr10:uidLastSave="{00000000-0000-0000-0000-000000000000}"/>
  <bookViews>
    <workbookView xWindow="18660" yWindow="8265" windowWidth="10110" windowHeight="6900" tabRatio="690" activeTab="2" xr2:uid="{00000000-000D-0000-FFFF-FFFF00000000}"/>
  </bookViews>
  <sheets>
    <sheet name="SAFETY HUDDLE" sheetId="27" r:id="rId1"/>
    <sheet name="Night Report " sheetId="23" r:id="rId2"/>
    <sheet name="0830" sheetId="5" r:id="rId3"/>
    <sheet name="1300" sheetId="24" r:id="rId4"/>
    <sheet name="Rag Status" sheetId="13" state="hidden" r:id="rId5"/>
    <sheet name="1700" sheetId="25" r:id="rId6"/>
    <sheet name="1900" sheetId="26" r:id="rId7"/>
  </sheets>
  <definedNames>
    <definedName name="_xlnm.Print_Area" localSheetId="2">'0830'!$B$2:$S$55</definedName>
    <definedName name="_xlnm.Print_Area" localSheetId="3">'1300'!$B$2:$M$52</definedName>
    <definedName name="_xlnm.Print_Area" localSheetId="5">'1700'!$B$2:$M$52</definedName>
    <definedName name="_xlnm.Print_Area" localSheetId="6">'1900'!$B$2:$M$52</definedName>
    <definedName name="_xlnm.Print_Area" localSheetId="1">'Night Report '!$B$2:$M$52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3" i="5" l="1"/>
  <c r="E63" i="5"/>
  <c r="F63" i="5"/>
  <c r="G63" i="5"/>
  <c r="H63" i="5"/>
  <c r="I63" i="5"/>
  <c r="E60" i="23" l="1"/>
  <c r="F60" i="23"/>
  <c r="G60" i="23"/>
  <c r="D43" i="23" l="1"/>
  <c r="C47" i="5"/>
  <c r="E44" i="5"/>
  <c r="C48" i="5" l="1"/>
  <c r="E48" i="5"/>
  <c r="C11" i="27" s="1"/>
  <c r="E47" i="5"/>
  <c r="M47" i="5"/>
  <c r="C10" i="27" s="1"/>
  <c r="G20" i="27"/>
  <c r="G18" i="27"/>
  <c r="E20" i="27"/>
  <c r="E18" i="27"/>
  <c r="D16" i="27"/>
  <c r="E3" i="27"/>
  <c r="C3" i="27"/>
  <c r="E8" i="26"/>
  <c r="E8" i="25"/>
  <c r="E8" i="24"/>
  <c r="I47" i="5" l="1"/>
  <c r="E10" i="27" s="1"/>
  <c r="G47" i="5" l="1"/>
  <c r="G10" i="27" s="1"/>
  <c r="I48" i="5" l="1"/>
  <c r="G11" i="27" s="1"/>
  <c r="G48" i="5"/>
  <c r="E11" i="27" s="1"/>
  <c r="E13" i="26" l="1"/>
  <c r="E12" i="26"/>
  <c r="E7" i="26"/>
  <c r="E9" i="26" s="1"/>
  <c r="E14" i="26" s="1"/>
  <c r="E13" i="25"/>
  <c r="E12" i="25"/>
  <c r="E7" i="25"/>
  <c r="E9" i="25" s="1"/>
  <c r="E14" i="25" s="1"/>
  <c r="E13" i="24"/>
  <c r="E12" i="24"/>
  <c r="E7" i="24"/>
  <c r="E9" i="24" s="1"/>
  <c r="E14" i="24" s="1"/>
  <c r="E12" i="5"/>
  <c r="E7" i="5"/>
  <c r="E9" i="5" s="1"/>
  <c r="E11" i="5" s="1"/>
  <c r="D63" i="5"/>
  <c r="I44" i="5"/>
  <c r="H44" i="5"/>
  <c r="G44" i="5"/>
  <c r="F44" i="5"/>
  <c r="D44" i="5"/>
  <c r="G44" i="25"/>
  <c r="F44" i="25"/>
  <c r="E44" i="25"/>
  <c r="D61" i="25"/>
  <c r="G61" i="25"/>
  <c r="F61" i="25"/>
  <c r="E61" i="25"/>
  <c r="E14" i="5" l="1"/>
  <c r="E11" i="24"/>
  <c r="E11" i="26"/>
  <c r="E11" i="25"/>
  <c r="G44" i="26"/>
  <c r="G61" i="26" s="1"/>
  <c r="F44" i="26"/>
  <c r="F61" i="26" s="1"/>
  <c r="E44" i="26"/>
  <c r="E61" i="26" s="1"/>
  <c r="D44" i="26"/>
  <c r="D61" i="26" s="1"/>
  <c r="C44" i="26"/>
  <c r="D44" i="25"/>
  <c r="C44" i="25"/>
  <c r="G44" i="24"/>
  <c r="G61" i="24" s="1"/>
  <c r="F44" i="24"/>
  <c r="F61" i="24" s="1"/>
  <c r="E44" i="24"/>
  <c r="E61" i="24" s="1"/>
  <c r="D44" i="24"/>
  <c r="D61" i="24" s="1"/>
  <c r="C44" i="24"/>
  <c r="G43" i="23"/>
  <c r="F43" i="23"/>
  <c r="E43" i="23"/>
  <c r="D60" i="23"/>
  <c r="C43" i="23"/>
  <c r="C44" i="5"/>
  <c r="F16" i="13"/>
  <c r="D21" i="13"/>
  <c r="D26" i="13"/>
  <c r="E1" i="13"/>
  <c r="C1" i="13"/>
  <c r="E16" i="13"/>
  <c r="D15" i="13"/>
  <c r="F10" i="13"/>
  <c r="F9" i="13"/>
  <c r="F8" i="13"/>
  <c r="F7" i="13"/>
  <c r="C14" i="13" l="1"/>
  <c r="F6" i="13" l="1"/>
  <c r="E20" i="13" l="1"/>
  <c r="E14" i="13" l="1"/>
  <c r="D16" i="13"/>
  <c r="D14" i="13" l="1"/>
  <c r="F14" i="13"/>
  <c r="F20" i="13"/>
  <c r="F21" i="13" s="1"/>
</calcChain>
</file>

<file path=xl/sharedStrings.xml><?xml version="1.0" encoding="utf-8"?>
<sst xmlns="http://schemas.openxmlformats.org/spreadsheetml/2006/main" count="662" uniqueCount="183">
  <si>
    <t>Time:</t>
  </si>
  <si>
    <t>Remaining Today:</t>
  </si>
  <si>
    <t>Admissions So Far:</t>
  </si>
  <si>
    <t xml:space="preserve"> </t>
  </si>
  <si>
    <t>Beds available now:</t>
  </si>
  <si>
    <t>Ward</t>
  </si>
  <si>
    <t>AU1</t>
  </si>
  <si>
    <t>Agreed Additional Capacity</t>
  </si>
  <si>
    <t>Electives:</t>
  </si>
  <si>
    <t>Predicted Emergency Admissions:</t>
  </si>
  <si>
    <t>Total:</t>
  </si>
  <si>
    <t>Totals</t>
  </si>
  <si>
    <t>FLOW</t>
  </si>
  <si>
    <t>Discharges</t>
  </si>
  <si>
    <t>Critical Care</t>
  </si>
  <si>
    <t>Total number in department</t>
  </si>
  <si>
    <t>Longest Wait</t>
  </si>
  <si>
    <t>Number of patients with DTA</t>
  </si>
  <si>
    <t>Number of patients breached since midnight</t>
  </si>
  <si>
    <t>A&amp;E</t>
  </si>
  <si>
    <t>Are you safe to start</t>
  </si>
  <si>
    <t>Date:</t>
  </si>
  <si>
    <t>Bed Compliment</t>
  </si>
  <si>
    <t>ADDITIONAL CAPACITY</t>
  </si>
  <si>
    <t>SEAL</t>
  </si>
  <si>
    <t>MATERNITY WARD</t>
  </si>
  <si>
    <t>NEONATAL UNIT</t>
  </si>
  <si>
    <t>RN Shortfall</t>
  </si>
  <si>
    <t>nRN Shortfall</t>
  </si>
  <si>
    <t>Occupancy</t>
  </si>
  <si>
    <t xml:space="preserve">AU1 Assessment </t>
  </si>
  <si>
    <t>Patients Now</t>
  </si>
  <si>
    <t>Ongoing Assessment</t>
  </si>
  <si>
    <t>Yes</t>
  </si>
  <si>
    <t xml:space="preserve">AU2 Assessment </t>
  </si>
  <si>
    <t>Emergency Care</t>
  </si>
  <si>
    <t>Planned Care</t>
  </si>
  <si>
    <t>Rag Status</t>
  </si>
  <si>
    <t>Green</t>
  </si>
  <si>
    <t>EDD</t>
  </si>
  <si>
    <t>Number of patients in ED and AU1au awaiting a bed</t>
  </si>
  <si>
    <t>4 Hour Performance Yesterday</t>
  </si>
  <si>
    <t>Longest Wait at 08:30am</t>
  </si>
  <si>
    <t>Number of people waiting in ED</t>
  </si>
  <si>
    <t>Emergency Department</t>
  </si>
  <si>
    <t>ICU Beds Available</t>
  </si>
  <si>
    <t>Admissions</t>
  </si>
  <si>
    <t>Variance</t>
  </si>
  <si>
    <t>Yesterday</t>
  </si>
  <si>
    <t>Amber Level 1</t>
  </si>
  <si>
    <t>Amber Level 2</t>
  </si>
  <si>
    <t>Amber Level 3</t>
  </si>
  <si>
    <t>Red Level 1</t>
  </si>
  <si>
    <t>Red Level 2</t>
  </si>
  <si>
    <t>Red Level 3</t>
  </si>
  <si>
    <t>Critical</t>
  </si>
  <si>
    <t>Staffing, Safe to start?</t>
  </si>
  <si>
    <t>Acute</t>
  </si>
  <si>
    <t>HSCP</t>
  </si>
  <si>
    <t>No</t>
  </si>
  <si>
    <t>Expected Community Hospital Bed Availability (as at 0800 hrs)</t>
  </si>
  <si>
    <t xml:space="preserve">Community Hospital Bed Occupancy (including additional beds) </t>
  </si>
  <si>
    <t>Community Hospital Queue (all areas)</t>
  </si>
  <si>
    <t>Total Patients in Social Care Delay on Trak</t>
  </si>
  <si>
    <t>VHK</t>
  </si>
  <si>
    <t>Breaches since midnight</t>
  </si>
  <si>
    <t>Predicted Today</t>
  </si>
  <si>
    <t>Electives Yesterday at VHK</t>
  </si>
  <si>
    <t>Complete</t>
  </si>
  <si>
    <t># pts overdue</t>
  </si>
  <si>
    <t># of pts due today</t>
  </si>
  <si>
    <t>Additional Beds in Use</t>
  </si>
  <si>
    <t>Total Occupancy</t>
  </si>
  <si>
    <t>Total CC Beds Available</t>
  </si>
  <si>
    <t>% complete</t>
  </si>
  <si>
    <t xml:space="preserve">Additional Community Hospital Beds Open </t>
  </si>
  <si>
    <t>General</t>
  </si>
  <si>
    <t>Stroke Rehab</t>
  </si>
  <si>
    <t>Other Board Areas</t>
  </si>
  <si>
    <t>Daycase</t>
  </si>
  <si>
    <t>Electives Planned today at VHK</t>
  </si>
  <si>
    <t>Inpatient</t>
  </si>
  <si>
    <t>Scheduled</t>
  </si>
  <si>
    <t>Ortho Trauma List</t>
  </si>
  <si>
    <t>SSSU</t>
  </si>
  <si>
    <t>Electives</t>
  </si>
  <si>
    <t>Discharges before 1pm</t>
  </si>
  <si>
    <t>Admissions Today</t>
  </si>
  <si>
    <t>Number of Ward fit patients</t>
  </si>
  <si>
    <t>Empty Beds</t>
  </si>
  <si>
    <t>Bed     Required</t>
  </si>
  <si>
    <t xml:space="preserve">GP's To Come In </t>
  </si>
  <si>
    <t>Victoria Hospital Capacity Report</t>
  </si>
  <si>
    <t>Expected Discharges:</t>
  </si>
  <si>
    <t>Closed</t>
  </si>
  <si>
    <t>Empty beds</t>
  </si>
  <si>
    <t>Expected Discharges</t>
  </si>
  <si>
    <t>Discharges Achieved</t>
  </si>
  <si>
    <t>Time to 1st assessment</t>
  </si>
  <si>
    <t>DELIVERY SUITE</t>
  </si>
  <si>
    <t>OBSERVATION UNIT</t>
  </si>
  <si>
    <t>CHILDREN'S WARD</t>
  </si>
  <si>
    <t>WOMEN &amp; CHILDREN</t>
  </si>
  <si>
    <t>Predicted Balance:</t>
  </si>
  <si>
    <t>Emergency Admissions So Far:</t>
  </si>
  <si>
    <t>Red Zone Occupancy</t>
  </si>
  <si>
    <t>Green Zone Occupancy</t>
  </si>
  <si>
    <t>Total Green Zone Empty Beds</t>
  </si>
  <si>
    <t>Total Red Zone Empty Beds</t>
  </si>
  <si>
    <t>Total Green Zone Bed Compliment</t>
  </si>
  <si>
    <t>Total Red Zone Bed Compliment</t>
  </si>
  <si>
    <t>AU1 &amp; AU2 Green Zone Occupancy</t>
  </si>
  <si>
    <t>AU1 Red Zone Occupancy</t>
  </si>
  <si>
    <t>Total Red Zone Patients</t>
  </si>
  <si>
    <t>(8) CCU / MHDU</t>
  </si>
  <si>
    <t>(3)     RHDU</t>
  </si>
  <si>
    <t>IOL</t>
  </si>
  <si>
    <t xml:space="preserve">Total in Dept </t>
  </si>
  <si>
    <t>0830 Safety Huddle</t>
  </si>
  <si>
    <t>CRITICAL CARE BED AVAILABILITY</t>
  </si>
  <si>
    <t>EMERGENCY DEPARTMENT</t>
  </si>
  <si>
    <t>ITU RED</t>
  </si>
  <si>
    <t>MHDU RED</t>
  </si>
  <si>
    <t>ITU GREEN</t>
  </si>
  <si>
    <t>MHDU / CCU GREEN</t>
  </si>
  <si>
    <t>RENAL HDU GREEN</t>
  </si>
  <si>
    <t>SHDU GREEN</t>
  </si>
  <si>
    <t>INPATIENT CAPACITY RED ZONE</t>
  </si>
  <si>
    <t>RED INPATIENT WARDS</t>
  </si>
  <si>
    <t>WARDS WITH RED ZONES</t>
  </si>
  <si>
    <t>Total Red Zone Available Beds</t>
  </si>
  <si>
    <t>Total Red Zone Occupancy</t>
  </si>
  <si>
    <t>Total Green Zone Occupancy</t>
  </si>
  <si>
    <t>URGENT SURGICAL ADMISSIONS</t>
  </si>
  <si>
    <t>MATERNITY</t>
  </si>
  <si>
    <t>PLANNED CARE</t>
  </si>
  <si>
    <t>TOTAL MATERNITY EMPTY BEDS</t>
  </si>
  <si>
    <t>PAEDIATRICS</t>
  </si>
  <si>
    <t>NEONATES</t>
  </si>
  <si>
    <t>Red Zone Inpatients</t>
  </si>
  <si>
    <t>Red Zone Available Beds</t>
  </si>
  <si>
    <t>Total Green Zone Available Beds</t>
  </si>
  <si>
    <t>Any other Safety Concerns/ Key messages?</t>
  </si>
  <si>
    <t>CARE &amp; TREATMENT CONCERNS</t>
  </si>
  <si>
    <t xml:space="preserve">PATIENTRAK DASHBOARD                                   Any patients at risk of deterioration?                                                Issues with patients with FEWS of  &gt;4 (or 3 for more than one hour)
Any early clinical support required?                                  
</t>
  </si>
  <si>
    <t>STAFFING ISSUES - ALL GROUPS (ISSUES BY EXCEPTION)</t>
  </si>
  <si>
    <t>RADIOLOGY (EXT 28325)</t>
  </si>
  <si>
    <t>LABORATORIES ( EXT 28102)</t>
  </si>
  <si>
    <t xml:space="preserve">SUPPORT SERVICES (Phone Level 11 between 0815 and 0845 (28305)
Situation report and key issues by exception)
</t>
  </si>
  <si>
    <t>INFECTION PREVENTION &amp; CONTROL        (EXT 28102)</t>
  </si>
  <si>
    <t>PHARMACY (EXT 21052)</t>
  </si>
  <si>
    <t>ESTATES, PORTERING &amp; FACILITIES</t>
  </si>
  <si>
    <t>DISCHARGE HUB (EXT 23990)</t>
  </si>
  <si>
    <t>PROCUREMENT (EXT 21346)</t>
  </si>
  <si>
    <t>OTHER CLINICAL CONCERNS</t>
  </si>
  <si>
    <t>URGENT COVID-19 UPDATES</t>
  </si>
  <si>
    <t>PPE UPDATE (Procurement)</t>
  </si>
  <si>
    <t>AU2 MED</t>
  </si>
  <si>
    <t>AU2 SURGICAL</t>
  </si>
  <si>
    <t>(11)     MHDU (WD 43)</t>
  </si>
  <si>
    <t xml:space="preserve">(28)     ITU </t>
  </si>
  <si>
    <t>(4)     SHDU (Rec 2)</t>
  </si>
  <si>
    <t>(6)     ITU (Rec 2)</t>
  </si>
  <si>
    <t>ITU, MHDU,  Wards 22 &amp; 34</t>
  </si>
  <si>
    <t>Wards AU1,41, 43, 51 &amp; 53</t>
  </si>
  <si>
    <t>08.04.2020</t>
  </si>
  <si>
    <t>08.04.20</t>
  </si>
  <si>
    <t>4hr 22min</t>
  </si>
  <si>
    <t>Plan in place for all patients with FEWS &gt;4</t>
  </si>
  <si>
    <t>No Issues</t>
  </si>
  <si>
    <t>No issues</t>
  </si>
  <si>
    <t xml:space="preserve">MRI scanner still not available </t>
  </si>
  <si>
    <t>Dummy 1</t>
  </si>
  <si>
    <t>Dummy 2</t>
  </si>
  <si>
    <t>Dummy 3</t>
  </si>
  <si>
    <t>Dummy 4</t>
  </si>
  <si>
    <t>None</t>
  </si>
  <si>
    <t>low in masks</t>
  </si>
  <si>
    <t>All closed suggestive of COVID</t>
  </si>
  <si>
    <t>No Social Care Discharges, Community beds</t>
  </si>
  <si>
    <t>Y</t>
  </si>
  <si>
    <t>0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</si>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</sst>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[$-809]dd\ mmmm\ yyyy;@"/>
  </numFmts>
  <fonts count="3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shadow/>
      <sz val="9"/>
      <name val="Arial"/>
      <family val="2"/>
    </font>
    <font>
      <sz val="9"/>
      <color indexed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9"/>
      <color rgb="FFFF000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b/>
      <sz val="26"/>
      <name val="Arial"/>
      <family val="2"/>
    </font>
    <font>
      <b/>
      <sz val="11"/>
      <color theme="0"/>
      <name val="Calibri"/>
      <family val="2"/>
      <scheme val="minor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16"/>
      <name val="Arial"/>
      <family val="2"/>
    </font>
    <font>
      <shadow/>
      <sz val="14"/>
      <name val="Arial"/>
      <family val="2"/>
    </font>
    <font>
      <sz val="11"/>
      <name val="Arial"/>
      <family val="2"/>
    </font>
    <font>
      <b/>
      <sz val="9"/>
      <color theme="1"/>
      <name val="Arial"/>
      <family val="2"/>
    </font>
    <font>
      <b/>
      <sz val="12"/>
      <color theme="1"/>
      <name val="Arial"/>
      <family val="2"/>
    </font>
    <font>
      <b/>
      <sz val="8"/>
      <name val="Arial"/>
      <family val="2"/>
    </font>
    <font>
      <b/>
      <sz val="8"/>
      <color rgb="FFFF0000"/>
      <name val="Arial"/>
      <family val="2"/>
    </font>
    <font>
      <b/>
      <sz val="14"/>
      <name val="Arial"/>
      <family val="2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sz val="12"/>
      <name val="Arial"/>
      <family val="2"/>
    </font>
    <font>
      <sz val="12"/>
      <color theme="0"/>
      <name val="Arial"/>
      <family val="2"/>
    </font>
    <font>
      <sz val="8"/>
      <name val="Arial"/>
    </font>
  </fonts>
  <fills count="2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lightUp">
        <bgColor theme="0"/>
      </patternFill>
    </fill>
    <fill>
      <patternFill patternType="lightUp"/>
    </fill>
    <fill>
      <patternFill patternType="solid">
        <fgColor theme="8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A5A5A5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15" fillId="18" borderId="49" applyNumberFormat="0" applyAlignment="0" applyProtection="0"/>
    <xf numFmtId="0" fontId="3" fillId="0" borderId="0"/>
  </cellStyleXfs>
  <cellXfs count="540">
    <xf numFmtId="0" fontId="0" fillId="0" borderId="0" xfId="0"/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0" fillId="0" borderId="0" xfId="0" applyBorder="1" applyAlignment="1"/>
    <xf numFmtId="0" fontId="4" fillId="6" borderId="8" xfId="0" applyFont="1" applyFill="1" applyBorder="1" applyAlignment="1">
      <alignment horizontal="center" vertical="center" wrapText="1"/>
    </xf>
    <xf numFmtId="0" fontId="4" fillId="11" borderId="6" xfId="0" applyFont="1" applyFill="1" applyBorder="1" applyAlignment="1">
      <alignment horizontal="center" vertical="center" wrapText="1"/>
    </xf>
    <xf numFmtId="0" fontId="4" fillId="5" borderId="24" xfId="0" applyFont="1" applyFill="1" applyBorder="1" applyAlignment="1">
      <alignment horizontal="center" vertical="center" wrapText="1"/>
    </xf>
    <xf numFmtId="0" fontId="0" fillId="0" borderId="0" xfId="0" applyBorder="1" applyAlignment="1"/>
    <xf numFmtId="0" fontId="12" fillId="0" borderId="12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4" xfId="0" applyFont="1" applyBorder="1" applyAlignment="1" applyProtection="1">
      <alignment horizontal="center" vertical="center"/>
      <protection locked="0"/>
    </xf>
    <xf numFmtId="0" fontId="4" fillId="0" borderId="15" xfId="0" applyFont="1" applyBorder="1" applyAlignment="1" applyProtection="1">
      <alignment horizontal="center" vertical="center"/>
      <protection locked="0"/>
    </xf>
    <xf numFmtId="0" fontId="4" fillId="0" borderId="12" xfId="0" applyFont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4" fillId="0" borderId="40" xfId="0" applyFont="1" applyFill="1" applyBorder="1" applyAlignment="1" applyProtection="1">
      <alignment horizontal="center" vertical="center"/>
      <protection locked="0"/>
    </xf>
    <xf numFmtId="0" fontId="5" fillId="4" borderId="9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0" borderId="0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4" borderId="24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5" xfId="0" applyFont="1" applyFill="1" applyBorder="1" applyAlignment="1" applyProtection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5" fillId="0" borderId="40" xfId="0" applyFont="1" applyBorder="1" applyAlignment="1" applyProtection="1">
      <alignment horizontal="center" vertical="center"/>
      <protection locked="0"/>
    </xf>
    <xf numFmtId="0" fontId="12" fillId="0" borderId="0" xfId="0" applyFont="1"/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3" fillId="0" borderId="9" xfId="0" applyFont="1" applyFill="1" applyBorder="1" applyAlignment="1">
      <alignment horizontal="center"/>
    </xf>
    <xf numFmtId="0" fontId="12" fillId="0" borderId="12" xfId="0" applyFont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2" fillId="0" borderId="47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0" fontId="0" fillId="0" borderId="7" xfId="0" applyNumberForma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2" fillId="0" borderId="38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11" fillId="0" borderId="21" xfId="0" applyFont="1" applyFill="1" applyBorder="1" applyAlignment="1">
      <alignment horizontal="center"/>
    </xf>
    <xf numFmtId="9" fontId="0" fillId="0" borderId="7" xfId="0" applyNumberFormat="1" applyBorder="1" applyAlignment="1">
      <alignment horizontal="center" vertical="center"/>
    </xf>
    <xf numFmtId="0" fontId="12" fillId="0" borderId="12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1" fontId="0" fillId="0" borderId="15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31" xfId="0" applyFont="1" applyFill="1" applyBorder="1" applyAlignment="1" applyProtection="1">
      <alignment horizontal="center" vertical="center"/>
      <protection locked="0"/>
    </xf>
    <xf numFmtId="0" fontId="4" fillId="0" borderId="32" xfId="0" applyFont="1" applyFill="1" applyBorder="1" applyAlignment="1" applyProtection="1">
      <alignment horizontal="center" vertical="center"/>
      <protection locked="0"/>
    </xf>
    <xf numFmtId="0" fontId="4" fillId="0" borderId="41" xfId="0" applyFont="1" applyBorder="1" applyAlignment="1" applyProtection="1">
      <alignment horizontal="center" vertical="center"/>
      <protection locked="0"/>
    </xf>
    <xf numFmtId="0" fontId="5" fillId="14" borderId="10" xfId="0" applyFont="1" applyFill="1" applyBorder="1" applyAlignment="1">
      <alignment horizontal="center" vertical="center"/>
    </xf>
    <xf numFmtId="0" fontId="4" fillId="4" borderId="10" xfId="0" applyFont="1" applyFill="1" applyBorder="1" applyAlignment="1" applyProtection="1">
      <alignment horizontal="center" vertical="center"/>
    </xf>
    <xf numFmtId="0" fontId="4" fillId="14" borderId="26" xfId="0" applyFont="1" applyFill="1" applyBorder="1" applyAlignment="1">
      <alignment horizontal="center" vertical="center"/>
    </xf>
    <xf numFmtId="0" fontId="4" fillId="15" borderId="41" xfId="0" applyFont="1" applyFill="1" applyBorder="1" applyAlignment="1" applyProtection="1">
      <alignment horizontal="center" vertical="center"/>
    </xf>
    <xf numFmtId="0" fontId="4" fillId="7" borderId="33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5" fillId="6" borderId="5" xfId="0" applyFont="1" applyFill="1" applyBorder="1" applyAlignment="1" applyProtection="1">
      <alignment horizontal="center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5" fillId="6" borderId="40" xfId="0" applyFont="1" applyFill="1" applyBorder="1" applyAlignment="1" applyProtection="1">
      <alignment horizontal="center" vertical="center"/>
      <protection locked="0"/>
    </xf>
    <xf numFmtId="0" fontId="12" fillId="17" borderId="24" xfId="0" applyFont="1" applyFill="1" applyBorder="1" applyAlignment="1">
      <alignment horizontal="center" vertical="center" wrapText="1"/>
    </xf>
    <xf numFmtId="0" fontId="12" fillId="6" borderId="24" xfId="0" applyFont="1" applyFill="1" applyBorder="1" applyAlignment="1">
      <alignment horizontal="center" vertical="center" wrapText="1"/>
    </xf>
    <xf numFmtId="0" fontId="12" fillId="6" borderId="24" xfId="0" applyFont="1" applyFill="1" applyBorder="1" applyAlignment="1">
      <alignment horizontal="center" vertical="center"/>
    </xf>
    <xf numFmtId="0" fontId="12" fillId="11" borderId="24" xfId="0" applyFont="1" applyFill="1" applyBorder="1" applyAlignment="1">
      <alignment horizontal="center" vertical="center" wrapText="1"/>
    </xf>
    <xf numFmtId="0" fontId="12" fillId="4" borderId="24" xfId="0" applyFont="1" applyFill="1" applyBorder="1" applyAlignment="1">
      <alignment horizontal="center" vertical="center" wrapText="1"/>
    </xf>
    <xf numFmtId="0" fontId="5" fillId="0" borderId="17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Fill="1" applyBorder="1" applyAlignment="1" applyProtection="1">
      <alignment horizontal="center" vertical="center"/>
      <protection locked="0"/>
    </xf>
    <xf numFmtId="0" fontId="4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>
      <alignment horizontal="center" vertical="center"/>
    </xf>
    <xf numFmtId="0" fontId="4" fillId="6" borderId="24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0" fontId="4" fillId="0" borderId="5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4" fillId="0" borderId="15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>
      <alignment horizontal="left" vertical="center"/>
    </xf>
    <xf numFmtId="0" fontId="19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left" vertical="center" wrapText="1"/>
    </xf>
    <xf numFmtId="0" fontId="19" fillId="0" borderId="0" xfId="0" applyFont="1" applyFill="1" applyBorder="1" applyAlignment="1">
      <alignment horizontal="left" vertical="center"/>
    </xf>
    <xf numFmtId="0" fontId="10" fillId="12" borderId="22" xfId="0" applyFont="1" applyFill="1" applyBorder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center" vertical="center" wrapText="1"/>
    </xf>
    <xf numFmtId="0" fontId="4" fillId="0" borderId="42" xfId="0" applyFont="1" applyFill="1" applyBorder="1" applyAlignment="1" applyProtection="1">
      <alignment horizontal="center" vertical="center"/>
      <protection locked="0"/>
    </xf>
    <xf numFmtId="0" fontId="4" fillId="0" borderId="25" xfId="0" applyFont="1" applyFill="1" applyBorder="1" applyAlignment="1" applyProtection="1">
      <alignment horizontal="center" vertical="center"/>
      <protection locked="0"/>
    </xf>
    <xf numFmtId="0" fontId="4" fillId="0" borderId="45" xfId="0" applyFont="1" applyFill="1" applyBorder="1" applyAlignment="1" applyProtection="1">
      <alignment horizontal="center" vertical="center"/>
      <protection locked="0"/>
    </xf>
    <xf numFmtId="0" fontId="4" fillId="0" borderId="53" xfId="0" applyFont="1" applyFill="1" applyBorder="1" applyAlignment="1" applyProtection="1">
      <alignment horizontal="center" vertical="center"/>
      <protection locked="0"/>
    </xf>
    <xf numFmtId="0" fontId="4" fillId="15" borderId="43" xfId="0" applyFont="1" applyFill="1" applyBorder="1" applyAlignment="1" applyProtection="1">
      <alignment horizontal="center" vertical="center"/>
    </xf>
    <xf numFmtId="0" fontId="4" fillId="0" borderId="31" xfId="0" applyFont="1" applyBorder="1" applyAlignment="1" applyProtection="1">
      <alignment horizontal="center" vertical="center"/>
      <protection locked="0"/>
    </xf>
    <xf numFmtId="0" fontId="4" fillId="0" borderId="32" xfId="0" applyFont="1" applyBorder="1" applyAlignment="1" applyProtection="1">
      <alignment horizontal="center" vertical="center"/>
      <protection locked="0"/>
    </xf>
    <xf numFmtId="0" fontId="4" fillId="0" borderId="30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>
      <alignment horizontal="center" vertical="center"/>
    </xf>
    <xf numFmtId="0" fontId="4" fillId="0" borderId="13" xfId="0" applyFont="1" applyBorder="1" applyAlignment="1" applyProtection="1">
      <alignment horizontal="center" vertical="center"/>
      <protection locked="0"/>
    </xf>
    <xf numFmtId="0" fontId="12" fillId="6" borderId="6" xfId="0" applyFont="1" applyFill="1" applyBorder="1" applyAlignment="1">
      <alignment horizontal="center" vertical="center"/>
    </xf>
    <xf numFmtId="0" fontId="12" fillId="17" borderId="6" xfId="0" applyFont="1" applyFill="1" applyBorder="1" applyAlignment="1">
      <alignment horizontal="center" vertical="center" wrapText="1"/>
    </xf>
    <xf numFmtId="0" fontId="12" fillId="6" borderId="17" xfId="0" applyFont="1" applyFill="1" applyBorder="1" applyAlignment="1">
      <alignment horizontal="center" vertical="center" wrapText="1"/>
    </xf>
    <xf numFmtId="0" fontId="12" fillId="6" borderId="6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11" borderId="6" xfId="0" applyFont="1" applyFill="1" applyBorder="1" applyAlignment="1">
      <alignment horizontal="center" vertical="center" wrapText="1"/>
    </xf>
    <xf numFmtId="0" fontId="10" fillId="12" borderId="52" xfId="0" applyFont="1" applyFill="1" applyBorder="1" applyAlignment="1" applyProtection="1">
      <alignment horizontal="center" vertical="center"/>
      <protection locked="0"/>
    </xf>
    <xf numFmtId="20" fontId="21" fillId="0" borderId="6" xfId="0" applyNumberFormat="1" applyFont="1" applyFill="1" applyBorder="1" applyAlignment="1">
      <alignment horizontal="center" vertical="center" wrapText="1"/>
    </xf>
    <xf numFmtId="0" fontId="12" fillId="6" borderId="54" xfId="0" applyFont="1" applyFill="1" applyBorder="1" applyAlignment="1">
      <alignment horizontal="center" vertical="center" wrapText="1"/>
    </xf>
    <xf numFmtId="0" fontId="12" fillId="5" borderId="18" xfId="0" applyFont="1" applyFill="1" applyBorder="1" applyAlignment="1">
      <alignment horizontal="center" vertical="center" wrapText="1"/>
    </xf>
    <xf numFmtId="0" fontId="5" fillId="6" borderId="55" xfId="0" applyFont="1" applyFill="1" applyBorder="1" applyAlignment="1">
      <alignment horizontal="center" vertical="center"/>
    </xf>
    <xf numFmtId="0" fontId="4" fillId="0" borderId="43" xfId="0" applyFont="1" applyFill="1" applyBorder="1" applyAlignment="1" applyProtection="1">
      <alignment horizontal="center" vertical="center"/>
      <protection locked="0"/>
    </xf>
    <xf numFmtId="0" fontId="10" fillId="12" borderId="1" xfId="0" applyFont="1" applyFill="1" applyBorder="1" applyAlignment="1" applyProtection="1">
      <alignment horizontal="center" vertical="center"/>
      <protection locked="0"/>
    </xf>
    <xf numFmtId="0" fontId="10" fillId="12" borderId="5" xfId="0" applyFont="1" applyFill="1" applyBorder="1" applyAlignment="1" applyProtection="1">
      <alignment horizontal="center" vertical="center"/>
      <protection locked="0"/>
    </xf>
    <xf numFmtId="0" fontId="4" fillId="0" borderId="14" xfId="0" applyFont="1" applyFill="1" applyBorder="1" applyAlignment="1" applyProtection="1">
      <alignment horizontal="center" vertical="center"/>
      <protection locked="0"/>
    </xf>
    <xf numFmtId="0" fontId="4" fillId="0" borderId="44" xfId="0" applyFont="1" applyFill="1" applyBorder="1" applyAlignment="1" applyProtection="1">
      <alignment horizontal="center" vertical="center"/>
      <protection locked="0"/>
    </xf>
    <xf numFmtId="0" fontId="5" fillId="6" borderId="46" xfId="0" applyFont="1" applyFill="1" applyBorder="1" applyAlignment="1" applyProtection="1">
      <alignment horizontal="center" vertical="center"/>
      <protection locked="0"/>
    </xf>
    <xf numFmtId="0" fontId="5" fillId="6" borderId="22" xfId="0" applyFont="1" applyFill="1" applyBorder="1" applyAlignment="1" applyProtection="1">
      <alignment horizontal="center" vertical="center"/>
      <protection locked="0"/>
    </xf>
    <xf numFmtId="0" fontId="4" fillId="0" borderId="4" xfId="0" applyFont="1" applyFill="1" applyBorder="1" applyAlignment="1" applyProtection="1">
      <alignment horizontal="center" vertical="center"/>
      <protection locked="0"/>
    </xf>
    <xf numFmtId="0" fontId="4" fillId="0" borderId="3" xfId="0" applyFont="1" applyFill="1" applyBorder="1" applyAlignment="1" applyProtection="1">
      <alignment horizontal="center" vertical="center"/>
      <protection locked="0"/>
    </xf>
    <xf numFmtId="0" fontId="5" fillId="6" borderId="47" xfId="0" applyFont="1" applyFill="1" applyBorder="1" applyAlignment="1" applyProtection="1">
      <alignment horizontal="center" vertical="center"/>
      <protection locked="0"/>
    </xf>
    <xf numFmtId="0" fontId="16" fillId="19" borderId="27" xfId="0" applyFont="1" applyFill="1" applyBorder="1" applyAlignment="1">
      <alignment horizontal="center" vertical="center"/>
    </xf>
    <xf numFmtId="0" fontId="5" fillId="20" borderId="28" xfId="0" applyFont="1" applyFill="1" applyBorder="1" applyAlignment="1">
      <alignment horizontal="center" vertical="center"/>
    </xf>
    <xf numFmtId="0" fontId="16" fillId="19" borderId="28" xfId="0" applyFont="1" applyFill="1" applyBorder="1" applyAlignment="1">
      <alignment horizontal="center" vertical="center"/>
    </xf>
    <xf numFmtId="0" fontId="5" fillId="20" borderId="29" xfId="0" applyFont="1" applyFill="1" applyBorder="1" applyAlignment="1">
      <alignment horizontal="center" vertical="center"/>
    </xf>
    <xf numFmtId="0" fontId="5" fillId="12" borderId="1" xfId="0" applyFont="1" applyFill="1" applyBorder="1" applyAlignment="1" applyProtection="1">
      <alignment horizontal="center" vertical="center"/>
      <protection locked="0"/>
    </xf>
    <xf numFmtId="0" fontId="4" fillId="0" borderId="12" xfId="0" applyFont="1" applyFill="1" applyBorder="1" applyAlignment="1" applyProtection="1">
      <alignment horizontal="center" vertical="center"/>
      <protection locked="0"/>
    </xf>
    <xf numFmtId="0" fontId="4" fillId="0" borderId="7" xfId="0" applyFont="1" applyFill="1" applyBorder="1" applyAlignment="1" applyProtection="1">
      <alignment horizontal="center" vertical="center"/>
      <protection locked="0"/>
    </xf>
    <xf numFmtId="0" fontId="4" fillId="0" borderId="13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17" fillId="19" borderId="4" xfId="0" applyFont="1" applyFill="1" applyBorder="1" applyAlignment="1">
      <alignment horizontal="left" vertical="center"/>
    </xf>
    <xf numFmtId="0" fontId="4" fillId="20" borderId="12" xfId="0" applyFont="1" applyFill="1" applyBorder="1" applyAlignment="1">
      <alignment horizontal="left" vertical="center"/>
    </xf>
    <xf numFmtId="0" fontId="10" fillId="0" borderId="5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>
      <alignment horizontal="center" vertical="center"/>
    </xf>
    <xf numFmtId="0" fontId="5" fillId="0" borderId="14" xfId="0" applyFont="1" applyBorder="1" applyAlignment="1" applyProtection="1">
      <alignment horizontal="center" vertical="center"/>
      <protection locked="0"/>
    </xf>
    <xf numFmtId="0" fontId="4" fillId="0" borderId="25" xfId="0" applyFont="1" applyBorder="1" applyAlignment="1" applyProtection="1">
      <alignment horizontal="center" vertical="center"/>
      <protection locked="0"/>
    </xf>
    <xf numFmtId="0" fontId="4" fillId="0" borderId="25" xfId="0" applyFont="1" applyBorder="1" applyAlignment="1">
      <alignment horizontal="center" vertical="center"/>
    </xf>
    <xf numFmtId="0" fontId="4" fillId="0" borderId="44" xfId="0" applyFont="1" applyBorder="1" applyAlignment="1" applyProtection="1">
      <alignment horizontal="center" vertical="center"/>
      <protection locked="0"/>
    </xf>
    <xf numFmtId="0" fontId="18" fillId="7" borderId="27" xfId="0" applyFont="1" applyFill="1" applyBorder="1" applyAlignment="1">
      <alignment horizontal="center" vertical="center"/>
    </xf>
    <xf numFmtId="0" fontId="18" fillId="8" borderId="28" xfId="0" applyFont="1" applyFill="1" applyBorder="1" applyAlignment="1" applyProtection="1">
      <alignment horizontal="center" vertical="center"/>
      <protection locked="0"/>
    </xf>
    <xf numFmtId="0" fontId="18" fillId="9" borderId="28" xfId="0" applyFont="1" applyFill="1" applyBorder="1" applyAlignment="1">
      <alignment horizontal="center" vertical="center"/>
    </xf>
    <xf numFmtId="0" fontId="18" fillId="0" borderId="28" xfId="0" applyFont="1" applyFill="1" applyBorder="1" applyAlignment="1" applyProtection="1">
      <alignment horizontal="center" vertical="center"/>
      <protection locked="0"/>
    </xf>
    <xf numFmtId="0" fontId="18" fillId="3" borderId="28" xfId="0" applyFont="1" applyFill="1" applyBorder="1" applyAlignment="1">
      <alignment horizontal="center" vertical="center"/>
    </xf>
    <xf numFmtId="0" fontId="18" fillId="4" borderId="28" xfId="0" applyFont="1" applyFill="1" applyBorder="1" applyAlignment="1">
      <alignment horizontal="center" vertical="center"/>
    </xf>
    <xf numFmtId="0" fontId="18" fillId="10" borderId="29" xfId="0" applyFont="1" applyFill="1" applyBorder="1" applyAlignment="1">
      <alignment horizontal="center" vertical="center"/>
    </xf>
    <xf numFmtId="0" fontId="5" fillId="12" borderId="14" xfId="0" applyFont="1" applyFill="1" applyBorder="1" applyAlignment="1" applyProtection="1">
      <alignment horizontal="center" vertical="center"/>
      <protection locked="0"/>
    </xf>
    <xf numFmtId="0" fontId="4" fillId="12" borderId="1" xfId="0" applyFont="1" applyFill="1" applyBorder="1" applyAlignment="1" applyProtection="1">
      <alignment horizontal="center" vertical="center"/>
      <protection locked="0"/>
    </xf>
    <xf numFmtId="0" fontId="11" fillId="3" borderId="12" xfId="0" applyFont="1" applyFill="1" applyBorder="1" applyAlignment="1">
      <alignment vertical="center"/>
    </xf>
    <xf numFmtId="0" fontId="11" fillId="6" borderId="1" xfId="0" applyFont="1" applyFill="1" applyBorder="1" applyAlignment="1">
      <alignment vertical="center"/>
    </xf>
    <xf numFmtId="0" fontId="11" fillId="6" borderId="7" xfId="0" applyFont="1" applyFill="1" applyBorder="1" applyAlignment="1">
      <alignment vertical="center"/>
    </xf>
    <xf numFmtId="0" fontId="11" fillId="3" borderId="13" xfId="0" applyFont="1" applyFill="1" applyBorder="1" applyAlignment="1">
      <alignment vertical="center"/>
    </xf>
    <xf numFmtId="0" fontId="11" fillId="6" borderId="14" xfId="0" applyFont="1" applyFill="1" applyBorder="1" applyAlignment="1">
      <alignment vertical="center"/>
    </xf>
    <xf numFmtId="0" fontId="11" fillId="6" borderId="15" xfId="0" applyFont="1" applyFill="1" applyBorder="1" applyAlignment="1">
      <alignment vertical="center"/>
    </xf>
    <xf numFmtId="0" fontId="4" fillId="6" borderId="24" xfId="0" applyFont="1" applyFill="1" applyBorder="1" applyAlignment="1">
      <alignment horizontal="center" vertical="center" wrapText="1"/>
    </xf>
    <xf numFmtId="0" fontId="16" fillId="19" borderId="4" xfId="0" applyFont="1" applyFill="1" applyBorder="1" applyAlignment="1">
      <alignment horizontal="center" vertical="center" wrapText="1"/>
    </xf>
    <xf numFmtId="0" fontId="16" fillId="19" borderId="12" xfId="0" applyFont="1" applyFill="1" applyBorder="1" applyAlignment="1">
      <alignment horizontal="center" vertical="center" wrapText="1"/>
    </xf>
    <xf numFmtId="0" fontId="5" fillId="20" borderId="12" xfId="0" applyFont="1" applyFill="1" applyBorder="1" applyAlignment="1">
      <alignment horizontal="center" vertical="center" wrapText="1"/>
    </xf>
    <xf numFmtId="0" fontId="23" fillId="20" borderId="12" xfId="0" applyFont="1" applyFill="1" applyBorder="1" applyAlignment="1">
      <alignment horizontal="center" vertical="center" wrapText="1"/>
    </xf>
    <xf numFmtId="0" fontId="16" fillId="19" borderId="39" xfId="0" applyFont="1" applyFill="1" applyBorder="1" applyAlignment="1">
      <alignment horizontal="center" vertical="center" wrapText="1"/>
    </xf>
    <xf numFmtId="0" fontId="23" fillId="20" borderId="39" xfId="0" applyFont="1" applyFill="1" applyBorder="1" applyAlignment="1">
      <alignment horizontal="center" vertical="center" wrapText="1"/>
    </xf>
    <xf numFmtId="0" fontId="4" fillId="15" borderId="57" xfId="0" applyFont="1" applyFill="1" applyBorder="1" applyAlignment="1" applyProtection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4" fillId="0" borderId="41" xfId="0" applyFont="1" applyFill="1" applyBorder="1" applyAlignment="1" applyProtection="1">
      <alignment horizontal="center" vertical="center"/>
      <protection locked="0"/>
    </xf>
    <xf numFmtId="0" fontId="4" fillId="4" borderId="26" xfId="0" applyFont="1" applyFill="1" applyBorder="1" applyAlignment="1" applyProtection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2" fillId="0" borderId="0" xfId="2" applyFont="1"/>
    <xf numFmtId="0" fontId="18" fillId="7" borderId="3" xfId="0" applyFont="1" applyFill="1" applyBorder="1" applyAlignment="1">
      <alignment horizontal="center" vertical="center"/>
    </xf>
    <xf numFmtId="0" fontId="18" fillId="8" borderId="7" xfId="0" applyFont="1" applyFill="1" applyBorder="1" applyAlignment="1" applyProtection="1">
      <alignment horizontal="center" vertical="center"/>
      <protection locked="0"/>
    </xf>
    <xf numFmtId="0" fontId="18" fillId="9" borderId="7" xfId="0" applyFont="1" applyFill="1" applyBorder="1" applyAlignment="1">
      <alignment horizontal="center" vertical="center"/>
    </xf>
    <xf numFmtId="0" fontId="18" fillId="0" borderId="7" xfId="0" applyFont="1" applyFill="1" applyBorder="1" applyAlignment="1" applyProtection="1">
      <alignment horizontal="center" vertical="center"/>
      <protection locked="0"/>
    </xf>
    <xf numFmtId="0" fontId="18" fillId="3" borderId="7" xfId="0" applyFont="1" applyFill="1" applyBorder="1" applyAlignment="1">
      <alignment horizontal="center" vertical="center"/>
    </xf>
    <xf numFmtId="0" fontId="18" fillId="4" borderId="7" xfId="0" applyFont="1" applyFill="1" applyBorder="1" applyAlignment="1">
      <alignment horizontal="center" vertical="center"/>
    </xf>
    <xf numFmtId="0" fontId="18" fillId="10" borderId="7" xfId="0" applyFont="1" applyFill="1" applyBorder="1" applyAlignment="1">
      <alignment horizontal="center" vertical="center"/>
    </xf>
    <xf numFmtId="0" fontId="24" fillId="0" borderId="33" xfId="2" applyFont="1" applyBorder="1" applyAlignment="1">
      <alignment horizontal="center"/>
    </xf>
    <xf numFmtId="0" fontId="11" fillId="0" borderId="0" xfId="0" applyFont="1" applyFill="1" applyBorder="1" applyAlignment="1">
      <alignment horizontal="center" vertical="center" wrapText="1"/>
    </xf>
    <xf numFmtId="164" fontId="25" fillId="0" borderId="0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 vertical="center"/>
    </xf>
    <xf numFmtId="0" fontId="8" fillId="0" borderId="0" xfId="0" applyFont="1" applyFill="1" applyBorder="1" applyAlignment="1" applyProtection="1">
      <alignment horizontal="center" vertical="center"/>
      <protection locked="0"/>
    </xf>
    <xf numFmtId="0" fontId="25" fillId="20" borderId="1" xfId="0" applyFont="1" applyFill="1" applyBorder="1" applyAlignment="1">
      <alignment horizontal="center" vertical="center" wrapText="1"/>
    </xf>
    <xf numFmtId="0" fontId="25" fillId="0" borderId="1" xfId="0" applyFont="1" applyFill="1" applyBorder="1" applyAlignment="1">
      <alignment horizontal="center" vertical="center"/>
    </xf>
    <xf numFmtId="164" fontId="25" fillId="0" borderId="1" xfId="0" applyNumberFormat="1" applyFont="1" applyFill="1" applyBorder="1" applyAlignment="1">
      <alignment horizontal="center" vertical="center"/>
    </xf>
    <xf numFmtId="0" fontId="25" fillId="20" borderId="1" xfId="0" applyFont="1" applyFill="1" applyBorder="1" applyAlignment="1" applyProtection="1">
      <alignment horizontal="center" vertical="center" wrapText="1"/>
      <protection locked="0"/>
    </xf>
    <xf numFmtId="0" fontId="25" fillId="19" borderId="1" xfId="0" applyFont="1" applyFill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/>
    </xf>
    <xf numFmtId="0" fontId="25" fillId="0" borderId="1" xfId="0" applyFont="1" applyFill="1" applyBorder="1" applyAlignment="1" applyProtection="1">
      <alignment horizontal="center" vertical="center"/>
      <protection locked="0"/>
    </xf>
    <xf numFmtId="0" fontId="25" fillId="19" borderId="1" xfId="0" applyFont="1" applyFill="1" applyBorder="1" applyAlignment="1" applyProtection="1">
      <alignment horizontal="center" vertical="center" wrapText="1"/>
      <protection locked="0"/>
    </xf>
    <xf numFmtId="164" fontId="25" fillId="0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59" xfId="0" applyFont="1" applyFill="1" applyBorder="1" applyAlignment="1" applyProtection="1">
      <alignment horizontal="center" vertical="center"/>
      <protection locked="0"/>
    </xf>
    <xf numFmtId="0" fontId="4" fillId="0" borderId="59" xfId="0" applyFont="1" applyBorder="1" applyAlignment="1">
      <alignment horizontal="center" vertical="center"/>
    </xf>
    <xf numFmtId="0" fontId="26" fillId="21" borderId="0" xfId="0" applyFont="1" applyFill="1" applyBorder="1" applyAlignment="1" applyProtection="1">
      <alignment horizontal="center" vertical="center" wrapText="1"/>
      <protection locked="0"/>
    </xf>
    <xf numFmtId="0" fontId="17" fillId="19" borderId="12" xfId="0" applyFont="1" applyFill="1" applyBorder="1" applyAlignment="1">
      <alignment horizontal="left" vertical="center"/>
    </xf>
    <xf numFmtId="0" fontId="4" fillId="0" borderId="4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4" fillId="0" borderId="21" xfId="0" applyFont="1" applyFill="1" applyBorder="1" applyAlignment="1" applyProtection="1">
      <alignment horizontal="center" vertical="center"/>
      <protection locked="0"/>
    </xf>
    <xf numFmtId="0" fontId="11" fillId="0" borderId="18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18" xfId="0" applyFont="1" applyFill="1" applyBorder="1" applyAlignment="1" applyProtection="1">
      <alignment horizontal="center" vertical="center"/>
      <protection locked="0"/>
    </xf>
    <xf numFmtId="0" fontId="11" fillId="0" borderId="24" xfId="0" applyFont="1" applyFill="1" applyBorder="1" applyAlignment="1" applyProtection="1">
      <alignment horizontal="center" vertical="center"/>
      <protection locked="0"/>
    </xf>
    <xf numFmtId="0" fontId="11" fillId="0" borderId="8" xfId="0" applyFont="1" applyFill="1" applyBorder="1" applyAlignment="1" applyProtection="1">
      <alignment horizontal="center" vertical="center"/>
      <protection locked="0"/>
    </xf>
    <xf numFmtId="0" fontId="11" fillId="0" borderId="18" xfId="0" applyFont="1" applyFill="1" applyBorder="1" applyAlignment="1">
      <alignment horizontal="center" vertical="center" wrapText="1"/>
    </xf>
    <xf numFmtId="0" fontId="11" fillId="0" borderId="8" xfId="0" applyFont="1" applyFill="1" applyBorder="1" applyAlignment="1">
      <alignment horizontal="center" vertical="center" wrapText="1"/>
    </xf>
    <xf numFmtId="0" fontId="4" fillId="0" borderId="40" xfId="0" applyFont="1" applyBorder="1" applyAlignment="1" applyProtection="1">
      <alignment horizontal="center" vertical="center"/>
      <protection locked="0"/>
    </xf>
    <xf numFmtId="0" fontId="4" fillId="20" borderId="39" xfId="0" applyFont="1" applyFill="1" applyBorder="1" applyAlignment="1">
      <alignment horizontal="left" vertical="center"/>
    </xf>
    <xf numFmtId="49" fontId="5" fillId="0" borderId="40" xfId="0" applyNumberFormat="1" applyFont="1" applyBorder="1" applyAlignment="1" applyProtection="1">
      <alignment horizontal="center" vertical="center"/>
      <protection locked="0"/>
    </xf>
    <xf numFmtId="0" fontId="4" fillId="0" borderId="51" xfId="0" applyFont="1" applyBorder="1" applyAlignment="1" applyProtection="1">
      <alignment horizontal="center" vertical="center"/>
      <protection locked="0"/>
    </xf>
    <xf numFmtId="0" fontId="4" fillId="0" borderId="39" xfId="0" applyFont="1" applyBorder="1" applyAlignment="1" applyProtection="1">
      <alignment horizontal="center" vertical="center"/>
      <protection locked="0"/>
    </xf>
    <xf numFmtId="0" fontId="4" fillId="0" borderId="45" xfId="0" applyFont="1" applyBorder="1" applyAlignment="1" applyProtection="1">
      <alignment horizontal="center" vertical="center"/>
      <protection locked="0"/>
    </xf>
    <xf numFmtId="0" fontId="4" fillId="0" borderId="28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49" fontId="5" fillId="0" borderId="47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>
      <alignment horizontal="left" vertical="center"/>
    </xf>
    <xf numFmtId="0" fontId="4" fillId="21" borderId="13" xfId="0" applyFont="1" applyFill="1" applyBorder="1" applyAlignment="1">
      <alignment horizontal="left" vertical="center"/>
    </xf>
    <xf numFmtId="0" fontId="4" fillId="6" borderId="24" xfId="0" applyFont="1" applyFill="1" applyBorder="1" applyAlignment="1">
      <alignment horizontal="center" vertical="center" wrapText="1"/>
    </xf>
    <xf numFmtId="0" fontId="1" fillId="0" borderId="13" xfId="2" applyFont="1" applyBorder="1"/>
    <xf numFmtId="0" fontId="1" fillId="0" borderId="63" xfId="2" applyFont="1" applyBorder="1"/>
    <xf numFmtId="0" fontId="9" fillId="0" borderId="0" xfId="0" applyFont="1" applyProtection="1"/>
    <xf numFmtId="0" fontId="18" fillId="0" borderId="0" xfId="0" applyFont="1" applyProtection="1"/>
    <xf numFmtId="0" fontId="9" fillId="5" borderId="70" xfId="0" applyFont="1" applyFill="1" applyBorder="1" applyAlignment="1" applyProtection="1">
      <alignment horizontal="center" vertical="center" wrapText="1"/>
    </xf>
    <xf numFmtId="1" fontId="9" fillId="0" borderId="62" xfId="0" applyNumberFormat="1" applyFont="1" applyBorder="1" applyAlignment="1" applyProtection="1">
      <alignment horizontal="center" vertical="center"/>
    </xf>
    <xf numFmtId="0" fontId="9" fillId="5" borderId="62" xfId="0" applyFont="1" applyFill="1" applyBorder="1" applyAlignment="1" applyProtection="1">
      <alignment horizontal="center" vertical="center" wrapText="1"/>
    </xf>
    <xf numFmtId="1" fontId="9" fillId="0" borderId="67" xfId="0" applyNumberFormat="1" applyFont="1" applyBorder="1" applyAlignment="1" applyProtection="1">
      <alignment horizontal="center" vertical="center"/>
    </xf>
    <xf numFmtId="0" fontId="9" fillId="0" borderId="0" xfId="0" applyFont="1" applyBorder="1" applyProtection="1"/>
    <xf numFmtId="0" fontId="9" fillId="0" borderId="54" xfId="0" applyFont="1" applyBorder="1" applyProtection="1"/>
    <xf numFmtId="0" fontId="28" fillId="19" borderId="4" xfId="0" applyFont="1" applyFill="1" applyBorder="1" applyAlignment="1" applyProtection="1">
      <alignment horizontal="center" vertical="center" wrapText="1"/>
    </xf>
    <xf numFmtId="1" fontId="9" fillId="0" borderId="5" xfId="0" applyNumberFormat="1" applyFont="1" applyBorder="1" applyAlignment="1" applyProtection="1">
      <alignment horizontal="center" vertical="center"/>
    </xf>
    <xf numFmtId="0" fontId="9" fillId="20" borderId="5" xfId="0" applyFont="1" applyFill="1" applyBorder="1" applyAlignment="1" applyProtection="1">
      <alignment horizontal="center" vertical="center" wrapText="1"/>
    </xf>
    <xf numFmtId="0" fontId="9" fillId="0" borderId="3" xfId="0" applyFont="1" applyBorder="1" applyAlignment="1" applyProtection="1">
      <alignment horizontal="center" vertical="center"/>
    </xf>
    <xf numFmtId="0" fontId="28" fillId="19" borderId="13" xfId="0" applyFont="1" applyFill="1" applyBorder="1" applyAlignment="1" applyProtection="1">
      <alignment horizontal="center" vertical="center" wrapText="1"/>
    </xf>
    <xf numFmtId="1" fontId="9" fillId="0" borderId="14" xfId="0" applyNumberFormat="1" applyFont="1" applyBorder="1" applyAlignment="1" applyProtection="1">
      <alignment horizontal="center" vertical="center"/>
    </xf>
    <xf numFmtId="0" fontId="9" fillId="20" borderId="14" xfId="0" applyFont="1" applyFill="1" applyBorder="1" applyAlignment="1" applyProtection="1">
      <alignment horizontal="center" vertical="center" wrapText="1"/>
    </xf>
    <xf numFmtId="0" fontId="9" fillId="0" borderId="15" xfId="0" applyFont="1" applyBorder="1" applyAlignment="1" applyProtection="1">
      <alignment horizontal="center" vertical="center"/>
    </xf>
    <xf numFmtId="164" fontId="9" fillId="21" borderId="5" xfId="0" applyNumberFormat="1" applyFont="1" applyFill="1" applyBorder="1" applyAlignment="1" applyProtection="1">
      <alignment horizontal="center" vertical="center"/>
    </xf>
    <xf numFmtId="164" fontId="9" fillId="21" borderId="3" xfId="0" applyNumberFormat="1" applyFont="1" applyFill="1" applyBorder="1" applyAlignment="1" applyProtection="1">
      <alignment horizontal="center" vertical="center"/>
    </xf>
    <xf numFmtId="0" fontId="9" fillId="21" borderId="14" xfId="0" applyFont="1" applyFill="1" applyBorder="1" applyAlignment="1" applyProtection="1">
      <alignment horizontal="center" vertical="center"/>
    </xf>
    <xf numFmtId="0" fontId="28" fillId="19" borderId="14" xfId="0" applyFont="1" applyFill="1" applyBorder="1" applyAlignment="1" applyProtection="1">
      <alignment horizontal="center" vertical="center" wrapText="1"/>
    </xf>
    <xf numFmtId="164" fontId="9" fillId="21" borderId="15" xfId="0" applyNumberFormat="1" applyFont="1" applyFill="1" applyBorder="1" applyAlignment="1" applyProtection="1">
      <alignment horizontal="center" vertical="center"/>
    </xf>
    <xf numFmtId="1" fontId="25" fillId="0" borderId="1" xfId="0" applyNumberFormat="1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vertical="center"/>
    </xf>
    <xf numFmtId="0" fontId="25" fillId="22" borderId="1" xfId="0" applyFont="1" applyFill="1" applyBorder="1" applyAlignment="1" applyProtection="1">
      <alignment vertical="center" wrapText="1"/>
      <protection locked="0"/>
    </xf>
    <xf numFmtId="0" fontId="25" fillId="22" borderId="1" xfId="0" applyFont="1" applyFill="1" applyBorder="1" applyAlignment="1" applyProtection="1">
      <alignment wrapText="1"/>
      <protection locked="0"/>
    </xf>
    <xf numFmtId="0" fontId="25" fillId="22" borderId="7" xfId="0" applyFont="1" applyFill="1" applyBorder="1" applyAlignment="1" applyProtection="1">
      <alignment wrapText="1"/>
      <protection locked="0"/>
    </xf>
    <xf numFmtId="0" fontId="25" fillId="22" borderId="14" xfId="0" applyFont="1" applyFill="1" applyBorder="1" applyAlignment="1" applyProtection="1">
      <alignment wrapText="1"/>
      <protection locked="0"/>
    </xf>
    <xf numFmtId="0" fontId="25" fillId="22" borderId="15" xfId="0" applyFont="1" applyFill="1" applyBorder="1" applyAlignment="1" applyProtection="1">
      <alignment wrapText="1"/>
      <protection locked="0"/>
    </xf>
    <xf numFmtId="0" fontId="9" fillId="5" borderId="12" xfId="0" applyFont="1" applyFill="1" applyBorder="1" applyAlignment="1" applyProtection="1">
      <alignment horizontal="center" wrapText="1"/>
    </xf>
    <xf numFmtId="0" fontId="0" fillId="0" borderId="1" xfId="0" applyBorder="1" applyAlignment="1" applyProtection="1">
      <alignment horizontal="center" wrapText="1"/>
    </xf>
    <xf numFmtId="0" fontId="0" fillId="0" borderId="12" xfId="0" applyBorder="1" applyAlignment="1" applyProtection="1">
      <alignment wrapText="1"/>
    </xf>
    <xf numFmtId="0" fontId="0" fillId="0" borderId="1" xfId="0" applyBorder="1" applyAlignment="1" applyProtection="1">
      <alignment wrapText="1"/>
    </xf>
    <xf numFmtId="0" fontId="18" fillId="23" borderId="19" xfId="0" applyFont="1" applyFill="1" applyBorder="1" applyAlignment="1" applyProtection="1">
      <alignment horizontal="center" vertical="center" wrapText="1"/>
    </xf>
    <xf numFmtId="0" fontId="0" fillId="23" borderId="16" xfId="0" applyFill="1" applyBorder="1" applyAlignment="1" applyProtection="1">
      <alignment vertical="center" wrapText="1"/>
    </xf>
    <xf numFmtId="0" fontId="0" fillId="23" borderId="71" xfId="0" applyFill="1" applyBorder="1" applyAlignment="1" applyProtection="1">
      <alignment vertical="center" wrapText="1"/>
    </xf>
    <xf numFmtId="0" fontId="25" fillId="22" borderId="16" xfId="0" applyFont="1" applyFill="1" applyBorder="1" applyAlignment="1" applyProtection="1">
      <protection locked="0"/>
    </xf>
    <xf numFmtId="0" fontId="25" fillId="22" borderId="23" xfId="0" applyFont="1" applyFill="1" applyBorder="1" applyAlignment="1" applyProtection="1">
      <protection locked="0"/>
    </xf>
    <xf numFmtId="0" fontId="9" fillId="21" borderId="56" xfId="0" applyFont="1" applyFill="1" applyBorder="1" applyAlignment="1" applyProtection="1">
      <alignment horizontal="center" vertical="center"/>
    </xf>
    <xf numFmtId="0" fontId="0" fillId="21" borderId="0" xfId="0" applyFill="1" applyBorder="1" applyAlignment="1" applyProtection="1">
      <alignment horizontal="center"/>
    </xf>
    <xf numFmtId="0" fontId="9" fillId="21" borderId="0" xfId="0" applyFont="1" applyFill="1" applyBorder="1" applyAlignment="1" applyProtection="1"/>
    <xf numFmtId="0" fontId="18" fillId="21" borderId="19" xfId="0" applyFont="1" applyFill="1" applyBorder="1" applyAlignment="1" applyProtection="1">
      <alignment horizontal="center" vertical="center" wrapText="1"/>
    </xf>
    <xf numFmtId="0" fontId="0" fillId="21" borderId="16" xfId="0" applyFill="1" applyBorder="1" applyAlignment="1" applyProtection="1">
      <alignment horizontal="center" vertical="center" wrapText="1"/>
    </xf>
    <xf numFmtId="0" fontId="0" fillId="21" borderId="23" xfId="0" applyFill="1" applyBorder="1" applyAlignment="1" applyProtection="1">
      <alignment horizontal="center" vertical="center" wrapText="1"/>
    </xf>
    <xf numFmtId="0" fontId="0" fillId="21" borderId="72" xfId="0" applyFill="1" applyBorder="1" applyAlignment="1" applyProtection="1">
      <alignment horizontal="center" vertical="center" wrapText="1"/>
    </xf>
    <xf numFmtId="0" fontId="0" fillId="21" borderId="73" xfId="0" applyFill="1" applyBorder="1" applyAlignment="1" applyProtection="1">
      <alignment horizontal="center" vertical="center" wrapText="1"/>
    </xf>
    <xf numFmtId="0" fontId="0" fillId="21" borderId="53" xfId="0" applyFill="1" applyBorder="1" applyAlignment="1" applyProtection="1">
      <alignment horizontal="center" vertical="center" wrapText="1"/>
    </xf>
    <xf numFmtId="0" fontId="9" fillId="5" borderId="75" xfId="0" applyFont="1" applyFill="1" applyBorder="1" applyAlignment="1" applyProtection="1">
      <alignment horizontal="center" wrapText="1"/>
    </xf>
    <xf numFmtId="0" fontId="0" fillId="0" borderId="76" xfId="0" applyBorder="1" applyAlignment="1" applyProtection="1"/>
    <xf numFmtId="0" fontId="0" fillId="0" borderId="72" xfId="0" applyBorder="1" applyAlignment="1" applyProtection="1"/>
    <xf numFmtId="0" fontId="0" fillId="0" borderId="73" xfId="0" applyBorder="1" applyAlignment="1" applyProtection="1"/>
    <xf numFmtId="0" fontId="9" fillId="5" borderId="72" xfId="0" applyFont="1" applyFill="1" applyBorder="1" applyAlignment="1" applyProtection="1">
      <alignment horizontal="center" wrapText="1"/>
    </xf>
    <xf numFmtId="0" fontId="0" fillId="0" borderId="73" xfId="0" applyBorder="1" applyAlignment="1" applyProtection="1">
      <alignment horizontal="center" wrapText="1"/>
    </xf>
    <xf numFmtId="0" fontId="0" fillId="0" borderId="74" xfId="0" applyBorder="1" applyAlignment="1" applyProtection="1">
      <alignment horizontal="center" wrapText="1"/>
    </xf>
    <xf numFmtId="0" fontId="25" fillId="22" borderId="25" xfId="0" applyFont="1" applyFill="1" applyBorder="1" applyAlignment="1" applyProtection="1">
      <alignment horizontal="left" vertical="center" wrapText="1"/>
      <protection locked="0"/>
    </xf>
    <xf numFmtId="0" fontId="25" fillId="22" borderId="2" xfId="0" applyFont="1" applyFill="1" applyBorder="1" applyAlignment="1" applyProtection="1">
      <alignment horizontal="left" vertical="center" wrapText="1"/>
      <protection locked="0"/>
    </xf>
    <xf numFmtId="0" fontId="25" fillId="22" borderId="32" xfId="0" applyFont="1" applyFill="1" applyBorder="1" applyAlignment="1" applyProtection="1">
      <alignment horizontal="left" vertical="center" wrapText="1"/>
      <protection locked="0"/>
    </xf>
    <xf numFmtId="0" fontId="9" fillId="5" borderId="56" xfId="0" applyFont="1" applyFill="1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64" xfId="0" applyBorder="1" applyAlignment="1" applyProtection="1">
      <alignment horizontal="center" wrapText="1"/>
    </xf>
    <xf numFmtId="0" fontId="9" fillId="5" borderId="11" xfId="0" applyFont="1" applyFill="1" applyBorder="1" applyAlignment="1" applyProtection="1">
      <alignment horizontal="center" wrapText="1"/>
    </xf>
    <xf numFmtId="0" fontId="0" fillId="0" borderId="2" xfId="0" applyBorder="1" applyProtection="1"/>
    <xf numFmtId="0" fontId="0" fillId="0" borderId="22" xfId="0" applyBorder="1" applyProtection="1"/>
    <xf numFmtId="0" fontId="0" fillId="0" borderId="76" xfId="0" applyBorder="1" applyAlignment="1" applyProtection="1">
      <alignment horizontal="center" wrapText="1"/>
    </xf>
    <xf numFmtId="0" fontId="0" fillId="0" borderId="52" xfId="0" applyBorder="1" applyAlignment="1" applyProtection="1">
      <alignment horizontal="center" wrapText="1"/>
    </xf>
    <xf numFmtId="0" fontId="0" fillId="0" borderId="56" xfId="0" applyBorder="1" applyAlignment="1" applyProtection="1">
      <alignment horizontal="center" wrapText="1"/>
    </xf>
    <xf numFmtId="0" fontId="0" fillId="0" borderId="0" xfId="0" applyAlignment="1" applyProtection="1">
      <alignment horizontal="center" wrapText="1"/>
    </xf>
    <xf numFmtId="0" fontId="0" fillId="0" borderId="72" xfId="0" applyBorder="1" applyAlignment="1" applyProtection="1">
      <alignment horizontal="center" wrapText="1"/>
    </xf>
    <xf numFmtId="0" fontId="25" fillId="22" borderId="51" xfId="0" applyFont="1" applyFill="1" applyBorder="1" applyAlignment="1" applyProtection="1">
      <alignment horizontal="left" vertical="center" wrapText="1"/>
      <protection locked="0"/>
    </xf>
    <xf numFmtId="0" fontId="25" fillId="22" borderId="76" xfId="0" applyFont="1" applyFill="1" applyBorder="1" applyAlignment="1" applyProtection="1">
      <alignment horizontal="left" vertical="center" wrapText="1"/>
      <protection locked="0"/>
    </xf>
    <xf numFmtId="0" fontId="25" fillId="22" borderId="45" xfId="0" applyFont="1" applyFill="1" applyBorder="1" applyAlignment="1" applyProtection="1">
      <alignment horizontal="left" vertical="center" wrapText="1"/>
      <protection locked="0"/>
    </xf>
    <xf numFmtId="0" fontId="25" fillId="22" borderId="59" xfId="0" applyFont="1" applyFill="1" applyBorder="1" applyAlignment="1" applyProtection="1">
      <alignment horizontal="left" vertical="center" wrapText="1"/>
      <protection locked="0"/>
    </xf>
    <xf numFmtId="0" fontId="25" fillId="22" borderId="0" xfId="0" applyFont="1" applyFill="1" applyAlignment="1" applyProtection="1">
      <alignment horizontal="left" vertical="center" wrapText="1"/>
      <protection locked="0"/>
    </xf>
    <xf numFmtId="0" fontId="25" fillId="22" borderId="54" xfId="0" applyFont="1" applyFill="1" applyBorder="1" applyAlignment="1" applyProtection="1">
      <alignment horizontal="left" vertical="center" wrapText="1"/>
      <protection locked="0"/>
    </xf>
    <xf numFmtId="0" fontId="25" fillId="22" borderId="77" xfId="0" applyFont="1" applyFill="1" applyBorder="1" applyAlignment="1" applyProtection="1">
      <alignment horizontal="left" vertical="center" wrapText="1"/>
      <protection locked="0"/>
    </xf>
    <xf numFmtId="0" fontId="25" fillId="22" borderId="73" xfId="0" applyFont="1" applyFill="1" applyBorder="1" applyAlignment="1" applyProtection="1">
      <alignment horizontal="left" vertical="center" wrapText="1"/>
      <protection locked="0"/>
    </xf>
    <xf numFmtId="0" fontId="25" fillId="22" borderId="53" xfId="0" applyFont="1" applyFill="1" applyBorder="1" applyAlignment="1" applyProtection="1">
      <alignment horizontal="left" vertical="center" wrapText="1"/>
      <protection locked="0"/>
    </xf>
    <xf numFmtId="0" fontId="0" fillId="23" borderId="16" xfId="0" applyFill="1" applyBorder="1" applyAlignment="1" applyProtection="1">
      <alignment horizontal="center" wrapText="1"/>
    </xf>
    <xf numFmtId="0" fontId="0" fillId="23" borderId="71" xfId="0" applyFill="1" applyBorder="1" applyAlignment="1" applyProtection="1">
      <alignment horizontal="center" wrapText="1"/>
    </xf>
    <xf numFmtId="0" fontId="0" fillId="23" borderId="56" xfId="0" applyFill="1" applyBorder="1" applyAlignment="1" applyProtection="1">
      <alignment horizontal="center" wrapText="1"/>
    </xf>
    <xf numFmtId="0" fontId="0" fillId="23" borderId="0" xfId="0" applyFill="1" applyAlignment="1" applyProtection="1">
      <alignment horizontal="center" wrapText="1"/>
    </xf>
    <xf numFmtId="0" fontId="0" fillId="23" borderId="64" xfId="0" applyFill="1" applyBorder="1" applyAlignment="1" applyProtection="1">
      <alignment horizontal="center" wrapText="1"/>
    </xf>
    <xf numFmtId="0" fontId="0" fillId="23" borderId="63" xfId="0" applyFill="1" applyBorder="1" applyAlignment="1" applyProtection="1">
      <alignment horizontal="center" wrapText="1"/>
    </xf>
    <xf numFmtId="0" fontId="0" fillId="23" borderId="60" xfId="0" applyFill="1" applyBorder="1" applyAlignment="1" applyProtection="1">
      <alignment horizontal="center" wrapText="1"/>
    </xf>
    <xf numFmtId="0" fontId="0" fillId="23" borderId="66" xfId="0" applyFill="1" applyBorder="1" applyAlignment="1" applyProtection="1">
      <alignment horizontal="center" wrapText="1"/>
    </xf>
    <xf numFmtId="0" fontId="25" fillId="22" borderId="65" xfId="0" applyFont="1" applyFill="1" applyBorder="1" applyAlignment="1" applyProtection="1">
      <alignment horizontal="left" vertical="center" wrapText="1"/>
      <protection locked="0"/>
    </xf>
    <xf numFmtId="0" fontId="25" fillId="22" borderId="16" xfId="0" applyFont="1" applyFill="1" applyBorder="1" applyAlignment="1" applyProtection="1">
      <alignment horizontal="left" vertical="center" wrapText="1"/>
      <protection locked="0"/>
    </xf>
    <xf numFmtId="0" fontId="25" fillId="22" borderId="0" xfId="0" applyFont="1" applyFill="1" applyBorder="1" applyAlignment="1" applyProtection="1">
      <alignment horizontal="left" vertical="center" wrapText="1"/>
      <protection locked="0"/>
    </xf>
    <xf numFmtId="0" fontId="25" fillId="22" borderId="69" xfId="0" applyFont="1" applyFill="1" applyBorder="1" applyAlignment="1" applyProtection="1">
      <alignment horizontal="left" vertical="center" wrapText="1"/>
      <protection locked="0"/>
    </xf>
    <xf numFmtId="0" fontId="25" fillId="22" borderId="60" xfId="0" applyFont="1" applyFill="1" applyBorder="1" applyAlignment="1" applyProtection="1">
      <alignment horizontal="left" vertical="center" wrapText="1"/>
      <protection locked="0"/>
    </xf>
    <xf numFmtId="0" fontId="0" fillId="0" borderId="13" xfId="0" applyBorder="1" applyAlignment="1" applyProtection="1">
      <alignment wrapText="1"/>
    </xf>
    <xf numFmtId="0" fontId="0" fillId="0" borderId="14" xfId="0" applyBorder="1" applyAlignment="1" applyProtection="1">
      <alignment wrapText="1"/>
    </xf>
    <xf numFmtId="0" fontId="25" fillId="22" borderId="77" xfId="0" applyFont="1" applyFill="1" applyBorder="1" applyAlignment="1" applyProtection="1">
      <alignment wrapText="1"/>
      <protection locked="0"/>
    </xf>
    <xf numFmtId="0" fontId="25" fillId="22" borderId="73" xfId="0" applyFont="1" applyFill="1" applyBorder="1" applyAlignment="1" applyProtection="1">
      <alignment wrapText="1"/>
      <protection locked="0"/>
    </xf>
    <xf numFmtId="0" fontId="25" fillId="22" borderId="53" xfId="0" applyFont="1" applyFill="1" applyBorder="1" applyAlignment="1" applyProtection="1">
      <alignment wrapText="1"/>
      <protection locked="0"/>
    </xf>
    <xf numFmtId="0" fontId="9" fillId="5" borderId="20" xfId="0" applyFont="1" applyFill="1" applyBorder="1" applyAlignment="1" applyProtection="1">
      <alignment horizontal="left" vertical="center" wrapText="1"/>
    </xf>
    <xf numFmtId="0" fontId="9" fillId="5" borderId="21" xfId="0" applyFont="1" applyFill="1" applyBorder="1" applyAlignment="1" applyProtection="1">
      <alignment horizontal="left" vertical="center" wrapText="1"/>
    </xf>
    <xf numFmtId="0" fontId="9" fillId="5" borderId="17" xfId="0" applyFont="1" applyFill="1" applyBorder="1" applyAlignment="1" applyProtection="1">
      <alignment horizontal="left" vertical="center" wrapText="1"/>
    </xf>
    <xf numFmtId="0" fontId="18" fillId="21" borderId="20" xfId="0" applyFont="1" applyFill="1" applyBorder="1" applyAlignment="1" applyProtection="1">
      <alignment horizontal="center" vertical="center"/>
    </xf>
    <xf numFmtId="0" fontId="30" fillId="21" borderId="21" xfId="0" applyFont="1" applyFill="1" applyBorder="1" applyAlignment="1" applyProtection="1">
      <alignment vertical="center"/>
    </xf>
    <xf numFmtId="0" fontId="30" fillId="21" borderId="21" xfId="0" applyFont="1" applyFill="1" applyBorder="1" applyAlignment="1" applyProtection="1"/>
    <xf numFmtId="0" fontId="0" fillId="0" borderId="21" xfId="0" applyBorder="1" applyAlignment="1" applyProtection="1"/>
    <xf numFmtId="0" fontId="0" fillId="0" borderId="17" xfId="0" applyBorder="1" applyAlignment="1" applyProtection="1"/>
    <xf numFmtId="0" fontId="9" fillId="5" borderId="4" xfId="0" applyFont="1" applyFill="1" applyBorder="1" applyAlignment="1" applyProtection="1">
      <alignment horizontal="center" wrapText="1"/>
    </xf>
    <xf numFmtId="0" fontId="9" fillId="5" borderId="5" xfId="0" applyFont="1" applyFill="1" applyBorder="1" applyAlignment="1" applyProtection="1">
      <alignment horizontal="center"/>
    </xf>
    <xf numFmtId="0" fontId="9" fillId="5" borderId="12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/>
    </xf>
    <xf numFmtId="0" fontId="25" fillId="22" borderId="23" xfId="0" applyFont="1" applyFill="1" applyBorder="1" applyAlignment="1" applyProtection="1">
      <alignment horizontal="left" vertical="center" wrapText="1"/>
      <protection locked="0"/>
    </xf>
    <xf numFmtId="0" fontId="9" fillId="5" borderId="12" xfId="0" applyFont="1" applyFill="1" applyBorder="1" applyAlignment="1" applyProtection="1">
      <alignment horizontal="center" vertical="center"/>
    </xf>
    <xf numFmtId="0" fontId="9" fillId="5" borderId="1" xfId="0" applyFont="1" applyFill="1" applyBorder="1" applyAlignment="1" applyProtection="1">
      <alignment horizontal="center" vertical="center"/>
    </xf>
    <xf numFmtId="0" fontId="18" fillId="21" borderId="20" xfId="0" applyFont="1" applyFill="1" applyBorder="1" applyAlignment="1" applyProtection="1">
      <alignment horizontal="center" vertical="center" wrapText="1"/>
    </xf>
    <xf numFmtId="0" fontId="30" fillId="21" borderId="21" xfId="0" applyFont="1" applyFill="1" applyBorder="1" applyAlignment="1" applyProtection="1">
      <alignment horizontal="center" vertical="center"/>
    </xf>
    <xf numFmtId="0" fontId="30" fillId="21" borderId="17" xfId="0" applyFont="1" applyFill="1" applyBorder="1" applyAlignment="1" applyProtection="1">
      <alignment horizontal="center" vertical="center"/>
    </xf>
    <xf numFmtId="0" fontId="9" fillId="21" borderId="0" xfId="0" applyFont="1" applyFill="1" applyBorder="1" applyAlignment="1" applyProtection="1">
      <alignment horizontal="center" vertical="center"/>
    </xf>
    <xf numFmtId="0" fontId="12" fillId="21" borderId="0" xfId="0" applyFont="1" applyFill="1" applyBorder="1" applyAlignment="1" applyProtection="1">
      <alignment horizontal="left" vertical="center"/>
    </xf>
    <xf numFmtId="0" fontId="0" fillId="21" borderId="0" xfId="0" applyFill="1" applyBorder="1" applyAlignment="1" applyProtection="1"/>
    <xf numFmtId="0" fontId="0" fillId="21" borderId="56" xfId="0" applyFill="1" applyBorder="1" applyAlignment="1" applyProtection="1"/>
    <xf numFmtId="0" fontId="12" fillId="21" borderId="0" xfId="0" applyFont="1" applyFill="1" applyBorder="1" applyAlignment="1" applyProtection="1"/>
    <xf numFmtId="0" fontId="25" fillId="22" borderId="1" xfId="0" applyFont="1" applyFill="1" applyBorder="1" applyAlignment="1" applyProtection="1">
      <alignment horizontal="left" vertical="center"/>
      <protection locked="0"/>
    </xf>
    <xf numFmtId="0" fontId="25" fillId="22" borderId="7" xfId="0" applyFont="1" applyFill="1" applyBorder="1" applyAlignment="1" applyProtection="1">
      <alignment horizontal="left" vertical="center"/>
      <protection locked="0"/>
    </xf>
    <xf numFmtId="0" fontId="0" fillId="0" borderId="1" xfId="0" applyBorder="1" applyAlignment="1" applyProtection="1"/>
    <xf numFmtId="0" fontId="0" fillId="0" borderId="12" xfId="0" applyBorder="1" applyAlignment="1" applyProtection="1"/>
    <xf numFmtId="0" fontId="9" fillId="5" borderId="13" xfId="0" applyFont="1" applyFill="1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/>
    </xf>
    <xf numFmtId="0" fontId="25" fillId="22" borderId="1" xfId="0" applyFont="1" applyFill="1" applyBorder="1" applyAlignment="1" applyProtection="1">
      <protection locked="0"/>
    </xf>
    <xf numFmtId="0" fontId="25" fillId="22" borderId="7" xfId="0" applyFont="1" applyFill="1" applyBorder="1" applyAlignment="1" applyProtection="1">
      <protection locked="0"/>
    </xf>
    <xf numFmtId="0" fontId="25" fillId="22" borderId="14" xfId="0" applyFont="1" applyFill="1" applyBorder="1" applyAlignment="1" applyProtection="1">
      <protection locked="0"/>
    </xf>
    <xf numFmtId="0" fontId="25" fillId="22" borderId="15" xfId="0" applyFont="1" applyFill="1" applyBorder="1" applyAlignment="1" applyProtection="1">
      <protection locked="0"/>
    </xf>
    <xf numFmtId="0" fontId="27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9" fillId="5" borderId="20" xfId="0" applyFont="1" applyFill="1" applyBorder="1" applyAlignment="1" applyProtection="1">
      <alignment horizontal="center" vertical="center" wrapText="1"/>
    </xf>
    <xf numFmtId="0" fontId="9" fillId="5" borderId="68" xfId="0" applyFont="1" applyFill="1" applyBorder="1" applyAlignment="1" applyProtection="1">
      <alignment horizontal="center" vertical="center" wrapText="1"/>
    </xf>
    <xf numFmtId="0" fontId="9" fillId="21" borderId="48" xfId="0" applyFont="1" applyFill="1" applyBorder="1" applyAlignment="1" applyProtection="1">
      <alignment horizontal="center" vertical="center" wrapText="1"/>
    </xf>
    <xf numFmtId="0" fontId="9" fillId="21" borderId="21" xfId="0" applyFont="1" applyFill="1" applyBorder="1" applyAlignment="1" applyProtection="1">
      <alignment horizontal="center" vertical="center" wrapText="1"/>
    </xf>
    <xf numFmtId="0" fontId="9" fillId="21" borderId="17" xfId="0" applyFont="1" applyFill="1" applyBorder="1" applyAlignment="1" applyProtection="1">
      <alignment horizontal="center" vertical="center" wrapText="1"/>
    </xf>
    <xf numFmtId="0" fontId="0" fillId="5" borderId="21" xfId="0" applyFill="1" applyBorder="1" applyAlignment="1" applyProtection="1">
      <alignment horizontal="left" vertical="center" wrapText="1"/>
    </xf>
    <xf numFmtId="0" fontId="0" fillId="5" borderId="17" xfId="0" applyFill="1" applyBorder="1" applyAlignment="1" applyProtection="1">
      <alignment horizontal="left" vertical="center" wrapText="1"/>
    </xf>
    <xf numFmtId="0" fontId="18" fillId="21" borderId="21" xfId="0" applyFont="1" applyFill="1" applyBorder="1" applyAlignment="1" applyProtection="1">
      <alignment horizontal="center" vertical="center" wrapText="1"/>
    </xf>
    <xf numFmtId="0" fontId="18" fillId="21" borderId="17" xfId="0" applyFont="1" applyFill="1" applyBorder="1" applyAlignment="1" applyProtection="1">
      <alignment horizontal="center" vertical="center" wrapText="1"/>
    </xf>
    <xf numFmtId="0" fontId="9" fillId="22" borderId="48" xfId="0" applyFont="1" applyFill="1" applyBorder="1" applyAlignment="1" applyProtection="1">
      <alignment horizontal="center" vertical="center" wrapText="1"/>
      <protection locked="0"/>
    </xf>
    <xf numFmtId="0" fontId="9" fillId="22" borderId="21" xfId="0" applyFont="1" applyFill="1" applyBorder="1" applyAlignment="1" applyProtection="1">
      <alignment horizontal="center" vertical="center" wrapText="1"/>
      <protection locked="0"/>
    </xf>
    <xf numFmtId="0" fontId="9" fillId="22" borderId="17" xfId="0" applyFont="1" applyFill="1" applyBorder="1" applyAlignment="1" applyProtection="1">
      <alignment horizontal="center" vertical="center" wrapText="1"/>
      <protection locked="0"/>
    </xf>
    <xf numFmtId="0" fontId="9" fillId="22" borderId="14" xfId="0" applyFont="1" applyFill="1" applyBorder="1" applyAlignment="1" applyProtection="1">
      <alignment horizontal="center" vertical="center" wrapText="1"/>
      <protection locked="0"/>
    </xf>
    <xf numFmtId="0" fontId="12" fillId="22" borderId="14" xfId="0" applyFont="1" applyFill="1" applyBorder="1" applyAlignment="1" applyProtection="1">
      <alignment horizontal="center" vertical="center"/>
      <protection locked="0"/>
    </xf>
    <xf numFmtId="0" fontId="12" fillId="22" borderId="15" xfId="0" applyFont="1" applyFill="1" applyBorder="1" applyAlignment="1" applyProtection="1">
      <alignment horizontal="center" vertical="center"/>
      <protection locked="0"/>
    </xf>
    <xf numFmtId="0" fontId="28" fillId="19" borderId="13" xfId="0" applyFont="1" applyFill="1" applyBorder="1" applyAlignment="1" applyProtection="1">
      <alignment horizontal="center" vertical="center" wrapText="1"/>
    </xf>
    <xf numFmtId="0" fontId="12" fillId="0" borderId="14" xfId="0" applyFont="1" applyBorder="1" applyAlignment="1" applyProtection="1">
      <alignment horizontal="center" vertical="center" wrapText="1"/>
    </xf>
    <xf numFmtId="0" fontId="29" fillId="19" borderId="19" xfId="0" applyFont="1" applyFill="1" applyBorder="1" applyAlignment="1" applyProtection="1">
      <alignment horizontal="center" vertical="center" wrapText="1"/>
    </xf>
    <xf numFmtId="0" fontId="31" fillId="19" borderId="16" xfId="0" applyFont="1" applyFill="1" applyBorder="1" applyAlignment="1" applyProtection="1">
      <alignment horizontal="center" vertical="center"/>
    </xf>
    <xf numFmtId="0" fontId="31" fillId="19" borderId="16" xfId="0" applyFont="1" applyFill="1" applyBorder="1" applyAlignment="1" applyProtection="1"/>
    <xf numFmtId="0" fontId="31" fillId="19" borderId="23" xfId="0" applyFont="1" applyFill="1" applyBorder="1" applyAlignment="1" applyProtection="1"/>
    <xf numFmtId="0" fontId="28" fillId="19" borderId="4" xfId="0" applyFont="1" applyFill="1" applyBorder="1" applyAlignment="1" applyProtection="1">
      <alignment horizontal="center" vertical="center" wrapText="1"/>
    </xf>
    <xf numFmtId="0" fontId="12" fillId="0" borderId="5" xfId="0" applyFont="1" applyBorder="1" applyAlignment="1" applyProtection="1">
      <alignment horizontal="center" vertical="center" wrapText="1"/>
    </xf>
    <xf numFmtId="0" fontId="9" fillId="22" borderId="5" xfId="0" applyFont="1" applyFill="1" applyBorder="1" applyAlignment="1" applyProtection="1">
      <alignment horizontal="center" vertical="center" wrapText="1"/>
      <protection locked="0"/>
    </xf>
    <xf numFmtId="0" fontId="12" fillId="22" borderId="5" xfId="0" applyFont="1" applyFill="1" applyBorder="1" applyAlignment="1" applyProtection="1">
      <alignment horizontal="center" vertical="center"/>
      <protection locked="0"/>
    </xf>
    <xf numFmtId="0" fontId="12" fillId="22" borderId="3" xfId="0" applyFont="1" applyFill="1" applyBorder="1" applyAlignment="1" applyProtection="1">
      <alignment horizontal="center" vertical="center"/>
      <protection locked="0"/>
    </xf>
    <xf numFmtId="0" fontId="30" fillId="21" borderId="17" xfId="0" applyFont="1" applyFill="1" applyBorder="1" applyAlignment="1" applyProtection="1"/>
    <xf numFmtId="0" fontId="12" fillId="17" borderId="27" xfId="0" applyFont="1" applyFill="1" applyBorder="1" applyAlignment="1">
      <alignment horizontal="center" vertical="center" wrapText="1"/>
    </xf>
    <xf numFmtId="0" fontId="0" fillId="0" borderId="28" xfId="0" applyBorder="1" applyAlignment="1">
      <alignment horizontal="center" vertical="center"/>
    </xf>
    <xf numFmtId="0" fontId="20" fillId="4" borderId="20" xfId="0" applyFont="1" applyFill="1" applyBorder="1" applyAlignment="1">
      <alignment horizontal="center" vertical="center"/>
    </xf>
    <xf numFmtId="0" fontId="20" fillId="4" borderId="21" xfId="0" applyFont="1" applyFill="1" applyBorder="1" applyAlignment="1">
      <alignment horizontal="center" vertical="center"/>
    </xf>
    <xf numFmtId="0" fontId="20" fillId="4" borderId="17" xfId="0" applyFont="1" applyFill="1" applyBorder="1" applyAlignment="1">
      <alignment horizontal="center" vertical="center"/>
    </xf>
    <xf numFmtId="14" fontId="19" fillId="0" borderId="20" xfId="0" applyNumberFormat="1" applyFont="1" applyFill="1" applyBorder="1" applyAlignment="1">
      <alignment horizontal="center" vertical="center"/>
    </xf>
    <xf numFmtId="0" fontId="19" fillId="0" borderId="17" xfId="0" applyFont="1" applyFill="1" applyBorder="1" applyAlignment="1">
      <alignment horizontal="center" vertical="center"/>
    </xf>
    <xf numFmtId="0" fontId="5" fillId="0" borderId="34" xfId="0" applyFont="1" applyFill="1" applyBorder="1" applyAlignment="1">
      <alignment horizontal="left" vertical="center"/>
    </xf>
    <xf numFmtId="0" fontId="9" fillId="0" borderId="50" xfId="0" applyFont="1" applyBorder="1"/>
    <xf numFmtId="0" fontId="4" fillId="0" borderId="0" xfId="0" applyFont="1" applyFill="1" applyBorder="1" applyAlignment="1">
      <alignment horizontal="left" vertical="center"/>
    </xf>
    <xf numFmtId="0" fontId="5" fillId="0" borderId="12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25" xfId="0" applyFont="1" applyBorder="1" applyAlignment="1">
      <alignment horizontal="left" vertical="center"/>
    </xf>
    <xf numFmtId="0" fontId="5" fillId="0" borderId="11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13" xfId="0" applyFont="1" applyFill="1" applyBorder="1" applyAlignment="1">
      <alignment horizontal="left" vertical="center"/>
    </xf>
    <xf numFmtId="0" fontId="5" fillId="0" borderId="14" xfId="0" applyFont="1" applyFill="1" applyBorder="1" applyAlignment="1">
      <alignment horizontal="left" vertical="center"/>
    </xf>
    <xf numFmtId="0" fontId="5" fillId="0" borderId="44" xfId="0" applyFont="1" applyFill="1" applyBorder="1" applyAlignment="1">
      <alignment horizontal="left" vertical="center"/>
    </xf>
    <xf numFmtId="0" fontId="5" fillId="4" borderId="20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11" fillId="0" borderId="18" xfId="0" applyFont="1" applyBorder="1" applyAlignment="1" applyProtection="1">
      <alignment horizontal="center" vertical="center"/>
      <protection locked="0"/>
    </xf>
    <xf numFmtId="0" fontId="11" fillId="0" borderId="24" xfId="0" applyFont="1" applyBorder="1" applyAlignment="1" applyProtection="1">
      <alignment horizontal="center" vertical="center"/>
      <protection locked="0"/>
    </xf>
    <xf numFmtId="0" fontId="11" fillId="0" borderId="8" xfId="0" applyFont="1" applyBorder="1" applyAlignment="1" applyProtection="1">
      <alignment horizontal="center" vertical="center"/>
      <protection locked="0"/>
    </xf>
    <xf numFmtId="20" fontId="11" fillId="0" borderId="18" xfId="0" applyNumberFormat="1" applyFont="1" applyBorder="1" applyAlignment="1" applyProtection="1">
      <alignment horizontal="center" vertical="center" wrapText="1"/>
      <protection locked="0"/>
    </xf>
    <xf numFmtId="0" fontId="11" fillId="0" borderId="24" xfId="0" applyFont="1" applyBorder="1" applyAlignment="1" applyProtection="1">
      <alignment horizontal="center" vertical="center" wrapText="1"/>
      <protection locked="0"/>
    </xf>
    <xf numFmtId="0" fontId="11" fillId="0" borderId="8" xfId="0" applyFont="1" applyBorder="1" applyAlignment="1" applyProtection="1">
      <alignment horizontal="center" vertical="center" wrapText="1"/>
      <protection locked="0"/>
    </xf>
    <xf numFmtId="20" fontId="11" fillId="0" borderId="18" xfId="0" applyNumberFormat="1" applyFont="1" applyBorder="1" applyAlignment="1" applyProtection="1">
      <alignment horizontal="center" vertical="center"/>
      <protection locked="0"/>
    </xf>
    <xf numFmtId="0" fontId="11" fillId="0" borderId="27" xfId="0" applyFont="1" applyBorder="1" applyAlignment="1" applyProtection="1">
      <alignment horizontal="center" vertical="center"/>
      <protection locked="0"/>
    </xf>
    <xf numFmtId="0" fontId="11" fillId="0" borderId="28" xfId="0" applyFont="1" applyBorder="1" applyAlignment="1" applyProtection="1">
      <alignment horizontal="center" vertical="center"/>
      <protection locked="0"/>
    </xf>
    <xf numFmtId="0" fontId="11" fillId="0" borderId="29" xfId="0" applyFont="1" applyBorder="1" applyAlignment="1" applyProtection="1">
      <alignment horizontal="center" vertical="center"/>
      <protection locked="0"/>
    </xf>
    <xf numFmtId="0" fontId="4" fillId="6" borderId="18" xfId="0" applyFont="1" applyFill="1" applyBorder="1" applyAlignment="1">
      <alignment horizontal="center" vertical="center" wrapText="1"/>
    </xf>
    <xf numFmtId="0" fontId="0" fillId="6" borderId="24" xfId="0" applyFill="1" applyBorder="1" applyAlignment="1">
      <alignment horizontal="center" vertical="center" wrapText="1"/>
    </xf>
    <xf numFmtId="0" fontId="4" fillId="6" borderId="24" xfId="0" applyFont="1" applyFill="1" applyBorder="1" applyAlignment="1">
      <alignment horizontal="center" vertical="center" wrapText="1"/>
    </xf>
    <xf numFmtId="0" fontId="4" fillId="0" borderId="21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>
      <alignment horizontal="center" vertical="center" wrapText="1"/>
    </xf>
    <xf numFmtId="0" fontId="5" fillId="16" borderId="20" xfId="0" applyFont="1" applyFill="1" applyBorder="1" applyAlignment="1">
      <alignment horizontal="center" vertical="center"/>
    </xf>
    <xf numFmtId="0" fontId="5" fillId="16" borderId="21" xfId="0" applyFont="1" applyFill="1" applyBorder="1" applyAlignment="1">
      <alignment horizontal="center" vertical="center"/>
    </xf>
    <xf numFmtId="0" fontId="5" fillId="16" borderId="17" xfId="0" applyFont="1" applyFill="1" applyBorder="1" applyAlignment="1">
      <alignment horizontal="center" vertical="center"/>
    </xf>
    <xf numFmtId="0" fontId="4" fillId="0" borderId="36" xfId="0" applyFont="1" applyFill="1" applyBorder="1" applyAlignment="1">
      <alignment horizontal="center" vertical="center" wrapText="1"/>
    </xf>
    <xf numFmtId="0" fontId="4" fillId="0" borderId="39" xfId="0" applyFont="1" applyFill="1" applyBorder="1" applyAlignment="1">
      <alignment horizontal="center" vertical="center" wrapText="1"/>
    </xf>
    <xf numFmtId="0" fontId="4" fillId="0" borderId="37" xfId="0" applyFont="1" applyFill="1" applyBorder="1" applyAlignment="1">
      <alignment horizontal="center" vertical="center" wrapText="1"/>
    </xf>
    <xf numFmtId="0" fontId="4" fillId="0" borderId="40" xfId="0" applyFont="1" applyFill="1" applyBorder="1" applyAlignment="1">
      <alignment horizontal="center" vertical="center" wrapText="1"/>
    </xf>
    <xf numFmtId="0" fontId="4" fillId="0" borderId="38" xfId="0" applyFont="1" applyFill="1" applyBorder="1" applyAlignment="1">
      <alignment horizontal="center" vertical="center" wrapText="1"/>
    </xf>
    <xf numFmtId="0" fontId="4" fillId="0" borderId="41" xfId="0" applyFont="1" applyFill="1" applyBorder="1" applyAlignment="1">
      <alignment horizontal="center" vertical="center" wrapText="1"/>
    </xf>
    <xf numFmtId="0" fontId="11" fillId="0" borderId="18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18" xfId="0" applyFont="1" applyFill="1" applyBorder="1" applyAlignment="1" applyProtection="1">
      <alignment horizontal="center" vertical="center"/>
      <protection locked="0"/>
    </xf>
    <xf numFmtId="0" fontId="11" fillId="0" borderId="24" xfId="0" applyFont="1" applyFill="1" applyBorder="1" applyAlignment="1" applyProtection="1">
      <alignment horizontal="center" vertical="center"/>
      <protection locked="0"/>
    </xf>
    <xf numFmtId="0" fontId="11" fillId="0" borderId="8" xfId="0" applyFont="1" applyFill="1" applyBorder="1" applyAlignment="1" applyProtection="1">
      <alignment horizontal="center" vertical="center"/>
      <protection locked="0"/>
    </xf>
    <xf numFmtId="0" fontId="5" fillId="13" borderId="20" xfId="0" applyFont="1" applyFill="1" applyBorder="1" applyAlignment="1">
      <alignment horizontal="center" vertical="center"/>
    </xf>
    <xf numFmtId="0" fontId="5" fillId="13" borderId="21" xfId="0" applyFont="1" applyFill="1" applyBorder="1" applyAlignment="1">
      <alignment horizontal="center" vertical="center"/>
    </xf>
    <xf numFmtId="0" fontId="5" fillId="13" borderId="17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4" fillId="7" borderId="19" xfId="0" applyFont="1" applyFill="1" applyBorder="1" applyAlignment="1">
      <alignment horizontal="center" vertical="center"/>
    </xf>
    <xf numFmtId="0" fontId="4" fillId="7" borderId="16" xfId="0" applyFont="1" applyFill="1" applyBorder="1" applyAlignment="1">
      <alignment horizontal="center" vertical="center"/>
    </xf>
    <xf numFmtId="0" fontId="4" fillId="7" borderId="23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5" fillId="0" borderId="20" xfId="0" applyFont="1" applyFill="1" applyBorder="1" applyAlignment="1">
      <alignment horizontal="left" vertical="center"/>
    </xf>
    <xf numFmtId="0" fontId="5" fillId="0" borderId="17" xfId="0" applyFont="1" applyFill="1" applyBorder="1" applyAlignment="1">
      <alignment horizontal="left" vertical="center"/>
    </xf>
    <xf numFmtId="0" fontId="11" fillId="0" borderId="27" xfId="0" applyFont="1" applyFill="1" applyBorder="1" applyAlignment="1">
      <alignment horizontal="center" vertical="center" wrapText="1"/>
    </xf>
    <xf numFmtId="0" fontId="11" fillId="0" borderId="28" xfId="0" applyFont="1" applyFill="1" applyBorder="1" applyAlignment="1">
      <alignment horizontal="center" vertical="center" wrapText="1"/>
    </xf>
    <xf numFmtId="0" fontId="11" fillId="0" borderId="29" xfId="0" applyFont="1" applyFill="1" applyBorder="1" applyAlignment="1">
      <alignment horizontal="center" vertical="center" wrapText="1"/>
    </xf>
    <xf numFmtId="0" fontId="4" fillId="11" borderId="23" xfId="0" applyFont="1" applyFill="1" applyBorder="1" applyAlignment="1">
      <alignment horizontal="center" vertical="center" wrapText="1"/>
    </xf>
    <xf numFmtId="0" fontId="4" fillId="11" borderId="54" xfId="0" applyFont="1" applyFill="1" applyBorder="1" applyAlignment="1">
      <alignment horizontal="center" vertical="center" wrapText="1"/>
    </xf>
    <xf numFmtId="0" fontId="4" fillId="5" borderId="18" xfId="0" applyFont="1" applyFill="1" applyBorder="1" applyAlignment="1">
      <alignment horizontal="center" vertical="center" wrapText="1"/>
    </xf>
    <xf numFmtId="0" fontId="0" fillId="5" borderId="24" xfId="0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4" fillId="0" borderId="61" xfId="0" applyFont="1" applyFill="1" applyBorder="1" applyAlignment="1">
      <alignment horizontal="center" vertical="center" wrapText="1"/>
    </xf>
    <xf numFmtId="0" fontId="0" fillId="0" borderId="62" xfId="0" applyBorder="1" applyAlignment="1">
      <alignment horizontal="center" vertical="center" wrapText="1"/>
    </xf>
    <xf numFmtId="0" fontId="5" fillId="21" borderId="60" xfId="0" applyFont="1" applyFill="1" applyBorder="1" applyAlignment="1">
      <alignment horizontal="center" vertical="center"/>
    </xf>
    <xf numFmtId="0" fontId="4" fillId="0" borderId="18" xfId="0" applyFont="1" applyBorder="1" applyAlignment="1" applyProtection="1">
      <alignment horizontal="center" vertical="center"/>
      <protection locked="0"/>
    </xf>
    <xf numFmtId="0" fontId="4" fillId="0" borderId="24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4" fillId="4" borderId="18" xfId="0" applyFont="1" applyFill="1" applyBorder="1" applyAlignment="1">
      <alignment horizontal="center" vertical="center" wrapText="1"/>
    </xf>
    <xf numFmtId="0" fontId="4" fillId="4" borderId="24" xfId="0" applyFont="1" applyFill="1" applyBorder="1" applyAlignment="1">
      <alignment horizontal="center" vertical="center" wrapText="1"/>
    </xf>
    <xf numFmtId="0" fontId="4" fillId="6" borderId="19" xfId="0" applyFont="1" applyFill="1" applyBorder="1" applyAlignment="1">
      <alignment horizontal="center" vertical="center" wrapText="1"/>
    </xf>
    <xf numFmtId="0" fontId="4" fillId="6" borderId="56" xfId="0" applyFont="1" applyFill="1" applyBorder="1" applyAlignment="1">
      <alignment horizontal="center" vertical="center" wrapText="1"/>
    </xf>
    <xf numFmtId="0" fontId="22" fillId="0" borderId="18" xfId="0" applyFont="1" applyBorder="1" applyAlignment="1" applyProtection="1">
      <alignment horizontal="center" vertical="center"/>
      <protection locked="0"/>
    </xf>
    <xf numFmtId="0" fontId="22" fillId="0" borderId="24" xfId="0" applyFont="1" applyBorder="1" applyAlignment="1" applyProtection="1">
      <alignment horizontal="center" vertical="center"/>
      <protection locked="0"/>
    </xf>
    <xf numFmtId="0" fontId="22" fillId="0" borderId="8" xfId="0" applyFont="1" applyBorder="1" applyAlignment="1" applyProtection="1">
      <alignment horizontal="center" vertical="center"/>
      <protection locked="0"/>
    </xf>
    <xf numFmtId="0" fontId="22" fillId="0" borderId="27" xfId="0" applyFont="1" applyBorder="1" applyAlignment="1" applyProtection="1">
      <alignment horizontal="center" vertical="center"/>
      <protection locked="0"/>
    </xf>
    <xf numFmtId="0" fontId="22" fillId="0" borderId="28" xfId="0" applyFont="1" applyBorder="1" applyAlignment="1" applyProtection="1">
      <alignment horizontal="center" vertical="center"/>
      <protection locked="0"/>
    </xf>
    <xf numFmtId="0" fontId="22" fillId="0" borderId="29" xfId="0" applyFont="1" applyBorder="1" applyAlignment="1" applyProtection="1">
      <alignment horizontal="center" vertical="center"/>
      <protection locked="0"/>
    </xf>
    <xf numFmtId="0" fontId="5" fillId="0" borderId="35" xfId="0" applyFont="1" applyFill="1" applyBorder="1" applyAlignment="1">
      <alignment horizontal="left" vertical="center"/>
    </xf>
    <xf numFmtId="0" fontId="5" fillId="0" borderId="58" xfId="0" applyFont="1" applyFill="1" applyBorder="1" applyAlignment="1">
      <alignment horizontal="left" vertical="center"/>
    </xf>
    <xf numFmtId="0" fontId="5" fillId="0" borderId="47" xfId="0" applyFont="1" applyFill="1" applyBorder="1" applyAlignment="1">
      <alignment horizontal="left" vertical="center"/>
    </xf>
    <xf numFmtId="0" fontId="5" fillId="0" borderId="12" xfId="0" applyFont="1" applyFill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5" fillId="0" borderId="4" xfId="0" applyFont="1" applyFill="1" applyBorder="1" applyAlignment="1">
      <alignment horizontal="left" vertical="center"/>
    </xf>
    <xf numFmtId="0" fontId="9" fillId="0" borderId="5" xfId="0" applyFont="1" applyBorder="1"/>
    <xf numFmtId="0" fontId="12" fillId="0" borderId="12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2" fillId="0" borderId="12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2" fillId="0" borderId="4" xfId="1" applyFont="1" applyFill="1" applyBorder="1" applyAlignment="1">
      <alignment horizontal="center" vertical="center" wrapText="1"/>
    </xf>
    <xf numFmtId="0" fontId="12" fillId="0" borderId="5" xfId="1" applyFont="1" applyFill="1" applyBorder="1" applyAlignment="1">
      <alignment horizontal="center" vertical="center" wrapText="1"/>
    </xf>
    <xf numFmtId="0" fontId="12" fillId="0" borderId="3" xfId="1" applyFont="1" applyFill="1" applyBorder="1" applyAlignment="1">
      <alignment horizontal="center" vertical="center" wrapText="1"/>
    </xf>
    <xf numFmtId="0" fontId="12" fillId="0" borderId="51" xfId="0" applyFont="1" applyBorder="1" applyAlignment="1">
      <alignment horizontal="center" vertical="center"/>
    </xf>
    <xf numFmtId="0" fontId="12" fillId="0" borderId="45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46" xfId="0" applyFont="1" applyBorder="1" applyAlignment="1">
      <alignment horizontal="center" vertical="center"/>
    </xf>
    <xf numFmtId="0" fontId="12" fillId="0" borderId="50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12" fillId="0" borderId="20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7" xfId="0" applyBorder="1" applyAlignment="1">
      <alignment horizontal="center"/>
    </xf>
    <xf numFmtId="0" fontId="12" fillId="0" borderId="9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0" applyNumberFormat="1" applyFont="1" applyAlignment="1">
      <alignment horizontal="center"/>
    </xf>
    <xf numFmtId="0" fontId="13" fillId="0" borderId="48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30" xfId="0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0" fillId="0" borderId="7" xfId="0" applyBorder="1" applyAlignment="1">
      <alignment horizontal="center"/>
    </xf>
  </cellXfs>
  <cellStyles count="3">
    <cellStyle name="Check Cell" xfId="1" builtinId="23"/>
    <cellStyle name="Normal" xfId="0" builtinId="0"/>
    <cellStyle name="Normal 2" xfId="2" xr:uid="{00000000-0005-0000-0000-000002000000}"/>
  </cellStyles>
  <dxfs count="53"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</dxfs>
  <tableStyles count="0" defaultTableStyle="TableStyleMedium9" defaultPivotStyle="PivotStyleLight16"/>
  <colors>
    <mruColors>
      <color rgb="FFFF0000"/>
      <color rgb="FFFF3300"/>
      <color rgb="FF0033CC"/>
      <color rgb="FF8DB4E3"/>
      <color rgb="FFFFFF66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3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4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5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</dgm:pt>
    <dgm:pt modelId="{137BE4E3-5CDA-48F5-AF51-AD37FDB9CD12}" type="pres">
      <dgm:prSet presAssocID="{3D76B524-8A76-40C1-B814-E94C8DB75581}" presName="gear1srcNode" presStyleLbl="node1" presStyleIdx="0" presStyleCnt="3"/>
      <dgm:spPr/>
    </dgm:pt>
    <dgm:pt modelId="{044497E5-8C0A-41F1-B8EF-6EE2B96D3C1D}" type="pres">
      <dgm:prSet presAssocID="{3D76B524-8A76-40C1-B814-E94C8DB75581}" presName="gear1dstNode" presStyleLbl="node1" presStyleIdx="0" presStyleCnt="3"/>
      <dgm:spPr/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</dgm:pt>
    <dgm:pt modelId="{700D604D-9802-4F72-9388-062E057578B0}" type="pres">
      <dgm:prSet presAssocID="{1C68C4BB-E0CE-4BD4-A250-6BB1313C8102}" presName="gear2srcNode" presStyleLbl="node1" presStyleIdx="1" presStyleCnt="3"/>
      <dgm:spPr/>
    </dgm:pt>
    <dgm:pt modelId="{6E4C15D3-C544-4998-AF52-23101F882761}" type="pres">
      <dgm:prSet presAssocID="{1C68C4BB-E0CE-4BD4-A250-6BB1313C8102}" presName="gear2dstNode" presStyleLbl="node1" presStyleIdx="1" presStyleCnt="3"/>
      <dgm:spPr/>
    </dgm:pt>
    <dgm:pt modelId="{76545084-0B49-479C-835B-7413B848C4E7}" type="pres">
      <dgm:prSet presAssocID="{B1FE7251-DD78-43DC-9EFE-35E755B8C113}" presName="gear3" presStyleLbl="node1" presStyleIdx="2" presStyleCnt="3"/>
      <dgm:spPr/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</dgm:pt>
    <dgm:pt modelId="{B7A8C643-326B-470C-B29A-8CDB28E398D6}" type="pres">
      <dgm:prSet presAssocID="{B1FE7251-DD78-43DC-9EFE-35E755B8C113}" presName="gear3srcNode" presStyleLbl="node1" presStyleIdx="2" presStyleCnt="3"/>
      <dgm:spPr/>
    </dgm:pt>
    <dgm:pt modelId="{3AF81862-CA10-46E9-B990-31ED7B1C337E}" type="pres">
      <dgm:prSet presAssocID="{B1FE7251-DD78-43DC-9EFE-35E755B8C113}" presName="gear3dstNode" presStyleLbl="node1" presStyleIdx="2" presStyleCnt="3"/>
      <dgm:spPr/>
    </dgm:pt>
    <dgm:pt modelId="{B37849E0-CEA8-488F-91B6-DCD6996B663B}" type="pres">
      <dgm:prSet presAssocID="{3346F7C9-2BEC-483F-AA76-59D108DC6B49}" presName="connector1" presStyleLbl="sibTrans2D1" presStyleIdx="0" presStyleCnt="3"/>
      <dgm:spPr/>
    </dgm:pt>
    <dgm:pt modelId="{F866955C-FDD6-4476-A602-38378FC1FF65}" type="pres">
      <dgm:prSet presAssocID="{90BC29A1-EAB1-4B07-BFBE-43D30ADE786F}" presName="connector2" presStyleLbl="sibTrans2D1" presStyleIdx="1" presStyleCnt="3"/>
      <dgm:spPr/>
    </dgm:pt>
    <dgm:pt modelId="{47172D9C-3CDF-4F63-B3B0-178F68183869}" type="pres">
      <dgm:prSet presAssocID="{EFC6E8EB-5017-42DF-B53D-6BC9750F37C4}" presName="connector3" presStyleLbl="sibTrans2D1" presStyleIdx="2" presStyleCnt="3"/>
      <dgm:spPr/>
    </dgm:pt>
  </dgm:ptLst>
  <dgm:cxnLst>
    <dgm:cxn modelId="{C81F8C03-8BB1-4043-9845-1F30CA38B0D9}" type="presOf" srcId="{3D76B524-8A76-40C1-B814-E94C8DB75581}" destId="{CCF3D23A-09EE-4067-A641-DD59D0533FC8}" srcOrd="0" destOrd="0" presId="urn:microsoft.com/office/officeart/2005/8/layout/gear1"/>
    <dgm:cxn modelId="{AA76AD1D-50B8-47F9-8C93-3ACB39BB75F4}" type="presOf" srcId="{3346F7C9-2BEC-483F-AA76-59D108DC6B49}" destId="{B37849E0-CEA8-488F-91B6-DCD6996B663B}" srcOrd="0" destOrd="0" presId="urn:microsoft.com/office/officeart/2005/8/layout/gear1"/>
    <dgm:cxn modelId="{3F89E831-3F3D-4FF1-B5A6-F5D87414E667}" type="presOf" srcId="{B1FE7251-DD78-43DC-9EFE-35E755B8C113}" destId="{B7A8C643-326B-470C-B29A-8CDB28E398D6}" srcOrd="2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FE729064-272E-46AE-8C8D-4460C355B558}" type="presOf" srcId="{B1FE7251-DD78-43DC-9EFE-35E755B8C113}" destId="{76545084-0B49-479C-835B-7413B848C4E7}" srcOrd="0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C65A5093-6B4A-4F52-88EE-2CDC65ECE0D8}" type="presOf" srcId="{1C68C4BB-E0CE-4BD4-A250-6BB1313C8102}" destId="{700D604D-9802-4F72-9388-062E057578B0}" srcOrd="1" destOrd="0" presId="urn:microsoft.com/office/officeart/2005/8/layout/gear1"/>
    <dgm:cxn modelId="{A9809C96-25FB-4C7F-9B07-45D63EC223BA}" type="presOf" srcId="{20027F76-6EF2-4DD8-BE41-A475A2100245}" destId="{D2147CE7-55B5-4289-95EA-E48035A21E7A}" srcOrd="0" destOrd="0" presId="urn:microsoft.com/office/officeart/2005/8/layout/gear1"/>
    <dgm:cxn modelId="{0529AFAB-6D5D-465B-954B-1493EAEFF352}" type="presOf" srcId="{EFC6E8EB-5017-42DF-B53D-6BC9750F37C4}" destId="{47172D9C-3CDF-4F63-B3B0-178F68183869}" srcOrd="0" destOrd="0" presId="urn:microsoft.com/office/officeart/2005/8/layout/gear1"/>
    <dgm:cxn modelId="{20CE3CB7-3C77-489F-BCA1-14308ABDBCBE}" type="presOf" srcId="{1C68C4BB-E0CE-4BD4-A250-6BB1313C8102}" destId="{92C8D4F5-79A2-46B4-ACB2-76BAF8E81BD2}" srcOrd="0" destOrd="0" presId="urn:microsoft.com/office/officeart/2005/8/layout/gear1"/>
    <dgm:cxn modelId="{0A6747C1-2E20-4B3F-A240-720AC11F7FDB}" type="presOf" srcId="{3D76B524-8A76-40C1-B814-E94C8DB75581}" destId="{044497E5-8C0A-41F1-B8EF-6EE2B96D3C1D}" srcOrd="2" destOrd="0" presId="urn:microsoft.com/office/officeart/2005/8/layout/gear1"/>
    <dgm:cxn modelId="{389FA3C1-619E-4A3F-89A4-F17BE5BB3ACF}" type="presOf" srcId="{90BC29A1-EAB1-4B07-BFBE-43D30ADE786F}" destId="{F866955C-FDD6-4476-A602-38378FC1FF65}" srcOrd="0" destOrd="0" presId="urn:microsoft.com/office/officeart/2005/8/layout/gear1"/>
    <dgm:cxn modelId="{8A0886D6-F102-430B-B37E-51F4C2FBF9E6}" type="presOf" srcId="{B1FE7251-DD78-43DC-9EFE-35E755B8C113}" destId="{A98D2C77-AB2E-4734-BD72-0AAFCDCB3B38}" srcOrd="1" destOrd="0" presId="urn:microsoft.com/office/officeart/2005/8/layout/gear1"/>
    <dgm:cxn modelId="{5F5B21D7-0F5C-4E39-A16F-9289284F7688}" type="presOf" srcId="{1C68C4BB-E0CE-4BD4-A250-6BB1313C8102}" destId="{6E4C15D3-C544-4998-AF52-23101F882761}" srcOrd="2" destOrd="0" presId="urn:microsoft.com/office/officeart/2005/8/layout/gear1"/>
    <dgm:cxn modelId="{65C02DD8-4C57-4849-A680-599C55BBA5A0}" type="presOf" srcId="{3D76B524-8A76-40C1-B814-E94C8DB75581}" destId="{137BE4E3-5CDA-48F5-AF51-AD37FDB9CD12}" srcOrd="1" destOrd="0" presId="urn:microsoft.com/office/officeart/2005/8/layout/gear1"/>
    <dgm:cxn modelId="{36C6CFE3-E442-45AC-B22B-F9866AACB834}" type="presOf" srcId="{B1FE7251-DD78-43DC-9EFE-35E755B8C113}" destId="{3AF81862-CA10-46E9-B990-31ED7B1C337E}" srcOrd="3" destOrd="0" presId="urn:microsoft.com/office/officeart/2005/8/layout/gear1"/>
    <dgm:cxn modelId="{F4A6C2EA-9D1E-4E54-A4C8-B7CD330A0465}" type="presParOf" srcId="{D2147CE7-55B5-4289-95EA-E48035A21E7A}" destId="{CCF3D23A-09EE-4067-A641-DD59D0533FC8}" srcOrd="0" destOrd="0" presId="urn:microsoft.com/office/officeart/2005/8/layout/gear1"/>
    <dgm:cxn modelId="{55860FCC-4A2C-4AC2-8844-F5DF00E1E235}" type="presParOf" srcId="{D2147CE7-55B5-4289-95EA-E48035A21E7A}" destId="{137BE4E3-5CDA-48F5-AF51-AD37FDB9CD12}" srcOrd="1" destOrd="0" presId="urn:microsoft.com/office/officeart/2005/8/layout/gear1"/>
    <dgm:cxn modelId="{9E9F348A-7455-4ACE-A12A-B58DAD15B55E}" type="presParOf" srcId="{D2147CE7-55B5-4289-95EA-E48035A21E7A}" destId="{044497E5-8C0A-41F1-B8EF-6EE2B96D3C1D}" srcOrd="2" destOrd="0" presId="urn:microsoft.com/office/officeart/2005/8/layout/gear1"/>
    <dgm:cxn modelId="{626EC50F-411C-4F40-8BA9-F5E23605A45A}" type="presParOf" srcId="{D2147CE7-55B5-4289-95EA-E48035A21E7A}" destId="{92C8D4F5-79A2-46B4-ACB2-76BAF8E81BD2}" srcOrd="3" destOrd="0" presId="urn:microsoft.com/office/officeart/2005/8/layout/gear1"/>
    <dgm:cxn modelId="{C20D279C-9152-4B63-9F61-F0973DF09738}" type="presParOf" srcId="{D2147CE7-55B5-4289-95EA-E48035A21E7A}" destId="{700D604D-9802-4F72-9388-062E057578B0}" srcOrd="4" destOrd="0" presId="urn:microsoft.com/office/officeart/2005/8/layout/gear1"/>
    <dgm:cxn modelId="{A9F676E7-3B18-4DA8-B61D-4CD1A904B27F}" type="presParOf" srcId="{D2147CE7-55B5-4289-95EA-E48035A21E7A}" destId="{6E4C15D3-C544-4998-AF52-23101F882761}" srcOrd="5" destOrd="0" presId="urn:microsoft.com/office/officeart/2005/8/layout/gear1"/>
    <dgm:cxn modelId="{AD272239-D35C-4884-BBB8-54D3B5528A9B}" type="presParOf" srcId="{D2147CE7-55B5-4289-95EA-E48035A21E7A}" destId="{76545084-0B49-479C-835B-7413B848C4E7}" srcOrd="6" destOrd="0" presId="urn:microsoft.com/office/officeart/2005/8/layout/gear1"/>
    <dgm:cxn modelId="{114DB3CB-EDA8-42A2-B399-393BA23F2470}" type="presParOf" srcId="{D2147CE7-55B5-4289-95EA-E48035A21E7A}" destId="{A98D2C77-AB2E-4734-BD72-0AAFCDCB3B38}" srcOrd="7" destOrd="0" presId="urn:microsoft.com/office/officeart/2005/8/layout/gear1"/>
    <dgm:cxn modelId="{18B2E8E1-606B-40CF-BE55-E9F3E17F2A20}" type="presParOf" srcId="{D2147CE7-55B5-4289-95EA-E48035A21E7A}" destId="{B7A8C643-326B-470C-B29A-8CDB28E398D6}" srcOrd="8" destOrd="0" presId="urn:microsoft.com/office/officeart/2005/8/layout/gear1"/>
    <dgm:cxn modelId="{8AB0303B-52D6-42F6-9BE9-180903ACB1D5}" type="presParOf" srcId="{D2147CE7-55B5-4289-95EA-E48035A21E7A}" destId="{3AF81862-CA10-46E9-B990-31ED7B1C337E}" srcOrd="9" destOrd="0" presId="urn:microsoft.com/office/officeart/2005/8/layout/gear1"/>
    <dgm:cxn modelId="{F04DC3D6-B263-448F-B7A8-1A1175BC3A0A}" type="presParOf" srcId="{D2147CE7-55B5-4289-95EA-E48035A21E7A}" destId="{B37849E0-CEA8-488F-91B6-DCD6996B663B}" srcOrd="10" destOrd="0" presId="urn:microsoft.com/office/officeart/2005/8/layout/gear1"/>
    <dgm:cxn modelId="{0BD3522C-F78E-4CD1-AF99-9A81286F4DAB}" type="presParOf" srcId="{D2147CE7-55B5-4289-95EA-E48035A21E7A}" destId="{F866955C-FDD6-4476-A602-38378FC1FF65}" srcOrd="11" destOrd="0" presId="urn:microsoft.com/office/officeart/2005/8/layout/gear1"/>
    <dgm:cxn modelId="{CD4158AB-7E07-47B8-83EF-44E6C199A451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</dgm:pt>
    <dgm:pt modelId="{137BE4E3-5CDA-48F5-AF51-AD37FDB9CD12}" type="pres">
      <dgm:prSet presAssocID="{3D76B524-8A76-40C1-B814-E94C8DB75581}" presName="gear1srcNode" presStyleLbl="node1" presStyleIdx="0" presStyleCnt="3"/>
      <dgm:spPr/>
    </dgm:pt>
    <dgm:pt modelId="{044497E5-8C0A-41F1-B8EF-6EE2B96D3C1D}" type="pres">
      <dgm:prSet presAssocID="{3D76B524-8A76-40C1-B814-E94C8DB75581}" presName="gear1dstNode" presStyleLbl="node1" presStyleIdx="0" presStyleCnt="3"/>
      <dgm:spPr/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</dgm:pt>
    <dgm:pt modelId="{700D604D-9802-4F72-9388-062E057578B0}" type="pres">
      <dgm:prSet presAssocID="{1C68C4BB-E0CE-4BD4-A250-6BB1313C8102}" presName="gear2srcNode" presStyleLbl="node1" presStyleIdx="1" presStyleCnt="3"/>
      <dgm:spPr/>
    </dgm:pt>
    <dgm:pt modelId="{6E4C15D3-C544-4998-AF52-23101F882761}" type="pres">
      <dgm:prSet presAssocID="{1C68C4BB-E0CE-4BD4-A250-6BB1313C8102}" presName="gear2dstNode" presStyleLbl="node1" presStyleIdx="1" presStyleCnt="3"/>
      <dgm:spPr/>
    </dgm:pt>
    <dgm:pt modelId="{76545084-0B49-479C-835B-7413B848C4E7}" type="pres">
      <dgm:prSet presAssocID="{B1FE7251-DD78-43DC-9EFE-35E755B8C113}" presName="gear3" presStyleLbl="node1" presStyleIdx="2" presStyleCnt="3"/>
      <dgm:spPr/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</dgm:pt>
    <dgm:pt modelId="{B7A8C643-326B-470C-B29A-8CDB28E398D6}" type="pres">
      <dgm:prSet presAssocID="{B1FE7251-DD78-43DC-9EFE-35E755B8C113}" presName="gear3srcNode" presStyleLbl="node1" presStyleIdx="2" presStyleCnt="3"/>
      <dgm:spPr/>
    </dgm:pt>
    <dgm:pt modelId="{3AF81862-CA10-46E9-B990-31ED7B1C337E}" type="pres">
      <dgm:prSet presAssocID="{B1FE7251-DD78-43DC-9EFE-35E755B8C113}" presName="gear3dstNode" presStyleLbl="node1" presStyleIdx="2" presStyleCnt="3"/>
      <dgm:spPr/>
    </dgm:pt>
    <dgm:pt modelId="{B37849E0-CEA8-488F-91B6-DCD6996B663B}" type="pres">
      <dgm:prSet presAssocID="{3346F7C9-2BEC-483F-AA76-59D108DC6B49}" presName="connector1" presStyleLbl="sibTrans2D1" presStyleIdx="0" presStyleCnt="3"/>
      <dgm:spPr/>
    </dgm:pt>
    <dgm:pt modelId="{F866955C-FDD6-4476-A602-38378FC1FF65}" type="pres">
      <dgm:prSet presAssocID="{90BC29A1-EAB1-4B07-BFBE-43D30ADE786F}" presName="connector2" presStyleLbl="sibTrans2D1" presStyleIdx="1" presStyleCnt="3"/>
      <dgm:spPr/>
    </dgm:pt>
    <dgm:pt modelId="{47172D9C-3CDF-4F63-B3B0-178F68183869}" type="pres">
      <dgm:prSet presAssocID="{EFC6E8EB-5017-42DF-B53D-6BC9750F37C4}" presName="connector3" presStyleLbl="sibTrans2D1" presStyleIdx="2" presStyleCnt="3"/>
      <dgm:spPr/>
    </dgm:pt>
  </dgm:ptLst>
  <dgm:cxnLst>
    <dgm:cxn modelId="{2093B003-1319-430D-BC7B-BA89E129815D}" type="presOf" srcId="{B1FE7251-DD78-43DC-9EFE-35E755B8C113}" destId="{B7A8C643-326B-470C-B29A-8CDB28E398D6}" srcOrd="2" destOrd="0" presId="urn:microsoft.com/office/officeart/2005/8/layout/gear1"/>
    <dgm:cxn modelId="{1BDD8412-BD4B-4D01-BD99-1442F52DFC73}" type="presOf" srcId="{3346F7C9-2BEC-483F-AA76-59D108DC6B49}" destId="{B37849E0-CEA8-488F-91B6-DCD6996B663B}" srcOrd="0" destOrd="0" presId="urn:microsoft.com/office/officeart/2005/8/layout/gear1"/>
    <dgm:cxn modelId="{8ACD431E-D4C1-4CE2-A46F-F2E2653B583B}" type="presOf" srcId="{3D76B524-8A76-40C1-B814-E94C8DB75581}" destId="{137BE4E3-5CDA-48F5-AF51-AD37FDB9CD12}" srcOrd="1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C3650A3C-F05D-4DA8-AEED-766358ED9AD6}" type="presOf" srcId="{B1FE7251-DD78-43DC-9EFE-35E755B8C113}" destId="{3AF81862-CA10-46E9-B990-31ED7B1C337E}" srcOrd="3" destOrd="0" presId="urn:microsoft.com/office/officeart/2005/8/layout/gear1"/>
    <dgm:cxn modelId="{94AD0C40-9C97-47A3-B254-3AC5AAE46B9B}" type="presOf" srcId="{B1FE7251-DD78-43DC-9EFE-35E755B8C113}" destId="{A98D2C77-AB2E-4734-BD72-0AAFCDCB3B38}" srcOrd="1" destOrd="0" presId="urn:microsoft.com/office/officeart/2005/8/layout/gear1"/>
    <dgm:cxn modelId="{28F7CD64-5938-4F1B-AA87-77F4A0E92BE4}" type="presOf" srcId="{20027F76-6EF2-4DD8-BE41-A475A2100245}" destId="{D2147CE7-55B5-4289-95EA-E48035A21E7A}" srcOrd="0" destOrd="0" presId="urn:microsoft.com/office/officeart/2005/8/layout/gear1"/>
    <dgm:cxn modelId="{71C2CF52-7E2E-479D-9627-0A6EDC49471A}" type="presOf" srcId="{EFC6E8EB-5017-42DF-B53D-6BC9750F37C4}" destId="{47172D9C-3CDF-4F63-B3B0-178F68183869}" srcOrd="0" destOrd="0" presId="urn:microsoft.com/office/officeart/2005/8/layout/gear1"/>
    <dgm:cxn modelId="{B4C79853-6D01-4DE0-B93B-F9915AAC265B}" type="presOf" srcId="{3D76B524-8A76-40C1-B814-E94C8DB75581}" destId="{044497E5-8C0A-41F1-B8EF-6EE2B96D3C1D}" srcOrd="2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FF1A29A0-294D-490A-BE56-3FCBCF135A3E}" type="presOf" srcId="{1C68C4BB-E0CE-4BD4-A250-6BB1313C8102}" destId="{6E4C15D3-C544-4998-AF52-23101F882761}" srcOrd="2" destOrd="0" presId="urn:microsoft.com/office/officeart/2005/8/layout/gear1"/>
    <dgm:cxn modelId="{F79FCEC4-7E10-4DA2-84A4-C9DD0E71F3EF}" type="presOf" srcId="{3D76B524-8A76-40C1-B814-E94C8DB75581}" destId="{CCF3D23A-09EE-4067-A641-DD59D0533FC8}" srcOrd="0" destOrd="0" presId="urn:microsoft.com/office/officeart/2005/8/layout/gear1"/>
    <dgm:cxn modelId="{95ED63EC-6E3C-4A77-B7A4-FC1C78FBD507}" type="presOf" srcId="{1C68C4BB-E0CE-4BD4-A250-6BB1313C8102}" destId="{92C8D4F5-79A2-46B4-ACB2-76BAF8E81BD2}" srcOrd="0" destOrd="0" presId="urn:microsoft.com/office/officeart/2005/8/layout/gear1"/>
    <dgm:cxn modelId="{8D3242F3-336D-49EB-880A-EB65A88EEF58}" type="presOf" srcId="{1C68C4BB-E0CE-4BD4-A250-6BB1313C8102}" destId="{700D604D-9802-4F72-9388-062E057578B0}" srcOrd="1" destOrd="0" presId="urn:microsoft.com/office/officeart/2005/8/layout/gear1"/>
    <dgm:cxn modelId="{2DE861F5-AA67-4FF4-9511-903F7D2D1F1B}" type="presOf" srcId="{90BC29A1-EAB1-4B07-BFBE-43D30ADE786F}" destId="{F866955C-FDD6-4476-A602-38378FC1FF65}" srcOrd="0" destOrd="0" presId="urn:microsoft.com/office/officeart/2005/8/layout/gear1"/>
    <dgm:cxn modelId="{2FA28CF6-B63D-4DA8-9DC6-780802A729D9}" type="presOf" srcId="{B1FE7251-DD78-43DC-9EFE-35E755B8C113}" destId="{76545084-0B49-479C-835B-7413B848C4E7}" srcOrd="0" destOrd="0" presId="urn:microsoft.com/office/officeart/2005/8/layout/gear1"/>
    <dgm:cxn modelId="{BD3EB01E-D67A-4D07-987B-5314D30E7C4E}" type="presParOf" srcId="{D2147CE7-55B5-4289-95EA-E48035A21E7A}" destId="{CCF3D23A-09EE-4067-A641-DD59D0533FC8}" srcOrd="0" destOrd="0" presId="urn:microsoft.com/office/officeart/2005/8/layout/gear1"/>
    <dgm:cxn modelId="{A1A5F2A4-BDEB-407F-AF7D-2B58697EE70D}" type="presParOf" srcId="{D2147CE7-55B5-4289-95EA-E48035A21E7A}" destId="{137BE4E3-5CDA-48F5-AF51-AD37FDB9CD12}" srcOrd="1" destOrd="0" presId="urn:microsoft.com/office/officeart/2005/8/layout/gear1"/>
    <dgm:cxn modelId="{E8B87477-7B62-4D9D-A446-6F9998F2A149}" type="presParOf" srcId="{D2147CE7-55B5-4289-95EA-E48035A21E7A}" destId="{044497E5-8C0A-41F1-B8EF-6EE2B96D3C1D}" srcOrd="2" destOrd="0" presId="urn:microsoft.com/office/officeart/2005/8/layout/gear1"/>
    <dgm:cxn modelId="{35A73C07-3C80-412C-897C-51FE4E9FC911}" type="presParOf" srcId="{D2147CE7-55B5-4289-95EA-E48035A21E7A}" destId="{92C8D4F5-79A2-46B4-ACB2-76BAF8E81BD2}" srcOrd="3" destOrd="0" presId="urn:microsoft.com/office/officeart/2005/8/layout/gear1"/>
    <dgm:cxn modelId="{11B8A877-99C8-4D08-B6E9-105234D6B5D2}" type="presParOf" srcId="{D2147CE7-55B5-4289-95EA-E48035A21E7A}" destId="{700D604D-9802-4F72-9388-062E057578B0}" srcOrd="4" destOrd="0" presId="urn:microsoft.com/office/officeart/2005/8/layout/gear1"/>
    <dgm:cxn modelId="{55559F0F-41FA-4F3E-BFF9-A9ED6DD5089C}" type="presParOf" srcId="{D2147CE7-55B5-4289-95EA-E48035A21E7A}" destId="{6E4C15D3-C544-4998-AF52-23101F882761}" srcOrd="5" destOrd="0" presId="urn:microsoft.com/office/officeart/2005/8/layout/gear1"/>
    <dgm:cxn modelId="{4858B65D-9FED-47ED-BA28-DDAD02FEBD19}" type="presParOf" srcId="{D2147CE7-55B5-4289-95EA-E48035A21E7A}" destId="{76545084-0B49-479C-835B-7413B848C4E7}" srcOrd="6" destOrd="0" presId="urn:microsoft.com/office/officeart/2005/8/layout/gear1"/>
    <dgm:cxn modelId="{1921DA33-5F7A-4881-88EF-C00701039951}" type="presParOf" srcId="{D2147CE7-55B5-4289-95EA-E48035A21E7A}" destId="{A98D2C77-AB2E-4734-BD72-0AAFCDCB3B38}" srcOrd="7" destOrd="0" presId="urn:microsoft.com/office/officeart/2005/8/layout/gear1"/>
    <dgm:cxn modelId="{4C4BC21E-7E6F-427F-B080-675A1EB3EF85}" type="presParOf" srcId="{D2147CE7-55B5-4289-95EA-E48035A21E7A}" destId="{B7A8C643-326B-470C-B29A-8CDB28E398D6}" srcOrd="8" destOrd="0" presId="urn:microsoft.com/office/officeart/2005/8/layout/gear1"/>
    <dgm:cxn modelId="{EFE800CE-0AFC-4A41-9272-D53E9405C257}" type="presParOf" srcId="{D2147CE7-55B5-4289-95EA-E48035A21E7A}" destId="{3AF81862-CA10-46E9-B990-31ED7B1C337E}" srcOrd="9" destOrd="0" presId="urn:microsoft.com/office/officeart/2005/8/layout/gear1"/>
    <dgm:cxn modelId="{D002B9E3-818C-49D8-A35B-D4F92E586D34}" type="presParOf" srcId="{D2147CE7-55B5-4289-95EA-E48035A21E7A}" destId="{B37849E0-CEA8-488F-91B6-DCD6996B663B}" srcOrd="10" destOrd="0" presId="urn:microsoft.com/office/officeart/2005/8/layout/gear1"/>
    <dgm:cxn modelId="{F8E2DA6F-8821-44B0-A163-8C423D17DC04}" type="presParOf" srcId="{D2147CE7-55B5-4289-95EA-E48035A21E7A}" destId="{F866955C-FDD6-4476-A602-38378FC1FF65}" srcOrd="11" destOrd="0" presId="urn:microsoft.com/office/officeart/2005/8/layout/gear1"/>
    <dgm:cxn modelId="{2784F4B3-BF8F-487F-A37D-57C69F34B0FC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ata3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</dgm:pt>
    <dgm:pt modelId="{137BE4E3-5CDA-48F5-AF51-AD37FDB9CD12}" type="pres">
      <dgm:prSet presAssocID="{3D76B524-8A76-40C1-B814-E94C8DB75581}" presName="gear1srcNode" presStyleLbl="node1" presStyleIdx="0" presStyleCnt="3"/>
      <dgm:spPr/>
    </dgm:pt>
    <dgm:pt modelId="{044497E5-8C0A-41F1-B8EF-6EE2B96D3C1D}" type="pres">
      <dgm:prSet presAssocID="{3D76B524-8A76-40C1-B814-E94C8DB75581}" presName="gear1dstNode" presStyleLbl="node1" presStyleIdx="0" presStyleCnt="3"/>
      <dgm:spPr/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</dgm:pt>
    <dgm:pt modelId="{700D604D-9802-4F72-9388-062E057578B0}" type="pres">
      <dgm:prSet presAssocID="{1C68C4BB-E0CE-4BD4-A250-6BB1313C8102}" presName="gear2srcNode" presStyleLbl="node1" presStyleIdx="1" presStyleCnt="3"/>
      <dgm:spPr/>
    </dgm:pt>
    <dgm:pt modelId="{6E4C15D3-C544-4998-AF52-23101F882761}" type="pres">
      <dgm:prSet presAssocID="{1C68C4BB-E0CE-4BD4-A250-6BB1313C8102}" presName="gear2dstNode" presStyleLbl="node1" presStyleIdx="1" presStyleCnt="3"/>
      <dgm:spPr/>
    </dgm:pt>
    <dgm:pt modelId="{76545084-0B49-479C-835B-7413B848C4E7}" type="pres">
      <dgm:prSet presAssocID="{B1FE7251-DD78-43DC-9EFE-35E755B8C113}" presName="gear3" presStyleLbl="node1" presStyleIdx="2" presStyleCnt="3"/>
      <dgm:spPr/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</dgm:pt>
    <dgm:pt modelId="{B7A8C643-326B-470C-B29A-8CDB28E398D6}" type="pres">
      <dgm:prSet presAssocID="{B1FE7251-DD78-43DC-9EFE-35E755B8C113}" presName="gear3srcNode" presStyleLbl="node1" presStyleIdx="2" presStyleCnt="3"/>
      <dgm:spPr/>
    </dgm:pt>
    <dgm:pt modelId="{3AF81862-CA10-46E9-B990-31ED7B1C337E}" type="pres">
      <dgm:prSet presAssocID="{B1FE7251-DD78-43DC-9EFE-35E755B8C113}" presName="gear3dstNode" presStyleLbl="node1" presStyleIdx="2" presStyleCnt="3"/>
      <dgm:spPr/>
    </dgm:pt>
    <dgm:pt modelId="{B37849E0-CEA8-488F-91B6-DCD6996B663B}" type="pres">
      <dgm:prSet presAssocID="{3346F7C9-2BEC-483F-AA76-59D108DC6B49}" presName="connector1" presStyleLbl="sibTrans2D1" presStyleIdx="0" presStyleCnt="3"/>
      <dgm:spPr/>
    </dgm:pt>
    <dgm:pt modelId="{F866955C-FDD6-4476-A602-38378FC1FF65}" type="pres">
      <dgm:prSet presAssocID="{90BC29A1-EAB1-4B07-BFBE-43D30ADE786F}" presName="connector2" presStyleLbl="sibTrans2D1" presStyleIdx="1" presStyleCnt="3"/>
      <dgm:spPr/>
    </dgm:pt>
    <dgm:pt modelId="{47172D9C-3CDF-4F63-B3B0-178F68183869}" type="pres">
      <dgm:prSet presAssocID="{EFC6E8EB-5017-42DF-B53D-6BC9750F37C4}" presName="connector3" presStyleLbl="sibTrans2D1" presStyleIdx="2" presStyleCnt="3"/>
      <dgm:spPr/>
    </dgm:pt>
  </dgm:ptLst>
  <dgm:cxnLst>
    <dgm:cxn modelId="{B4744E02-AC03-4B2F-9BE4-9182AFE3DB64}" type="presOf" srcId="{1C68C4BB-E0CE-4BD4-A250-6BB1313C8102}" destId="{6E4C15D3-C544-4998-AF52-23101F882761}" srcOrd="2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B995B53E-D0DA-4950-9907-7567C375B3A6}" type="presOf" srcId="{3346F7C9-2BEC-483F-AA76-59D108DC6B49}" destId="{B37849E0-CEA8-488F-91B6-DCD6996B663B}" srcOrd="0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C4AE167A-4673-4029-84CF-E1247606C491}" type="presOf" srcId="{3D76B524-8A76-40C1-B814-E94C8DB75581}" destId="{CCF3D23A-09EE-4067-A641-DD59D0533FC8}" srcOrd="0" destOrd="0" presId="urn:microsoft.com/office/officeart/2005/8/layout/gear1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EE96F57B-843C-4DB1-9ADC-4013172C5F5B}" type="presOf" srcId="{B1FE7251-DD78-43DC-9EFE-35E755B8C113}" destId="{B7A8C643-326B-470C-B29A-8CDB28E398D6}" srcOrd="2" destOrd="0" presId="urn:microsoft.com/office/officeart/2005/8/layout/gear1"/>
    <dgm:cxn modelId="{39D0137C-CD0B-4023-B509-13E1437A535C}" type="presOf" srcId="{1C68C4BB-E0CE-4BD4-A250-6BB1313C8102}" destId="{92C8D4F5-79A2-46B4-ACB2-76BAF8E81BD2}" srcOrd="0" destOrd="0" presId="urn:microsoft.com/office/officeart/2005/8/layout/gear1"/>
    <dgm:cxn modelId="{647B7990-C3DE-41AB-B83D-D704034FD012}" type="presOf" srcId="{3D76B524-8A76-40C1-B814-E94C8DB75581}" destId="{137BE4E3-5CDA-48F5-AF51-AD37FDB9CD12}" srcOrd="1" destOrd="0" presId="urn:microsoft.com/office/officeart/2005/8/layout/gear1"/>
    <dgm:cxn modelId="{CABBDE99-25C1-414C-A266-4409681299A5}" type="presOf" srcId="{90BC29A1-EAB1-4B07-BFBE-43D30ADE786F}" destId="{F866955C-FDD6-4476-A602-38378FC1FF65}" srcOrd="0" destOrd="0" presId="urn:microsoft.com/office/officeart/2005/8/layout/gear1"/>
    <dgm:cxn modelId="{EC3FC8B4-D937-43EC-A72C-F1DAE1AE174D}" type="presOf" srcId="{20027F76-6EF2-4DD8-BE41-A475A2100245}" destId="{D2147CE7-55B5-4289-95EA-E48035A21E7A}" srcOrd="0" destOrd="0" presId="urn:microsoft.com/office/officeart/2005/8/layout/gear1"/>
    <dgm:cxn modelId="{1EDC8AEA-658D-4C2C-90F5-B8E1869B12A9}" type="presOf" srcId="{3D76B524-8A76-40C1-B814-E94C8DB75581}" destId="{044497E5-8C0A-41F1-B8EF-6EE2B96D3C1D}" srcOrd="2" destOrd="0" presId="urn:microsoft.com/office/officeart/2005/8/layout/gear1"/>
    <dgm:cxn modelId="{F286A1ED-F741-4A37-B91D-E31E71A9BA8C}" type="presOf" srcId="{B1FE7251-DD78-43DC-9EFE-35E755B8C113}" destId="{76545084-0B49-479C-835B-7413B848C4E7}" srcOrd="0" destOrd="0" presId="urn:microsoft.com/office/officeart/2005/8/layout/gear1"/>
    <dgm:cxn modelId="{C5FF64F7-9A1E-4F4E-978F-375A01A36C39}" type="presOf" srcId="{1C68C4BB-E0CE-4BD4-A250-6BB1313C8102}" destId="{700D604D-9802-4F72-9388-062E057578B0}" srcOrd="1" destOrd="0" presId="urn:microsoft.com/office/officeart/2005/8/layout/gear1"/>
    <dgm:cxn modelId="{34B14DF7-0272-44E8-9D69-697F8D1B4E03}" type="presOf" srcId="{B1FE7251-DD78-43DC-9EFE-35E755B8C113}" destId="{A98D2C77-AB2E-4734-BD72-0AAFCDCB3B38}" srcOrd="1" destOrd="0" presId="urn:microsoft.com/office/officeart/2005/8/layout/gear1"/>
    <dgm:cxn modelId="{5EBC78F7-5E2E-4FE2-B37E-C79FE9EF7A14}" type="presOf" srcId="{EFC6E8EB-5017-42DF-B53D-6BC9750F37C4}" destId="{47172D9C-3CDF-4F63-B3B0-178F68183869}" srcOrd="0" destOrd="0" presId="urn:microsoft.com/office/officeart/2005/8/layout/gear1"/>
    <dgm:cxn modelId="{9DE8DBF7-6303-4120-8447-26C6E635CD1B}" type="presOf" srcId="{B1FE7251-DD78-43DC-9EFE-35E755B8C113}" destId="{3AF81862-CA10-46E9-B990-31ED7B1C337E}" srcOrd="3" destOrd="0" presId="urn:microsoft.com/office/officeart/2005/8/layout/gear1"/>
    <dgm:cxn modelId="{9927191C-6A32-4910-B6C7-878F99D5F129}" type="presParOf" srcId="{D2147CE7-55B5-4289-95EA-E48035A21E7A}" destId="{CCF3D23A-09EE-4067-A641-DD59D0533FC8}" srcOrd="0" destOrd="0" presId="urn:microsoft.com/office/officeart/2005/8/layout/gear1"/>
    <dgm:cxn modelId="{7A7F1C6B-4FA0-4B78-8FAD-DF8E59ACE5DD}" type="presParOf" srcId="{D2147CE7-55B5-4289-95EA-E48035A21E7A}" destId="{137BE4E3-5CDA-48F5-AF51-AD37FDB9CD12}" srcOrd="1" destOrd="0" presId="urn:microsoft.com/office/officeart/2005/8/layout/gear1"/>
    <dgm:cxn modelId="{2CA43C7F-54B8-4CE3-9939-588471BAAB09}" type="presParOf" srcId="{D2147CE7-55B5-4289-95EA-E48035A21E7A}" destId="{044497E5-8C0A-41F1-B8EF-6EE2B96D3C1D}" srcOrd="2" destOrd="0" presId="urn:microsoft.com/office/officeart/2005/8/layout/gear1"/>
    <dgm:cxn modelId="{3A00002E-AA55-4488-88E8-4A96537266F1}" type="presParOf" srcId="{D2147CE7-55B5-4289-95EA-E48035A21E7A}" destId="{92C8D4F5-79A2-46B4-ACB2-76BAF8E81BD2}" srcOrd="3" destOrd="0" presId="urn:microsoft.com/office/officeart/2005/8/layout/gear1"/>
    <dgm:cxn modelId="{9442D959-7ED0-4F28-949E-92C1F715698F}" type="presParOf" srcId="{D2147CE7-55B5-4289-95EA-E48035A21E7A}" destId="{700D604D-9802-4F72-9388-062E057578B0}" srcOrd="4" destOrd="0" presId="urn:microsoft.com/office/officeart/2005/8/layout/gear1"/>
    <dgm:cxn modelId="{33600929-0B45-4DC5-B0A5-327B099A3015}" type="presParOf" srcId="{D2147CE7-55B5-4289-95EA-E48035A21E7A}" destId="{6E4C15D3-C544-4998-AF52-23101F882761}" srcOrd="5" destOrd="0" presId="urn:microsoft.com/office/officeart/2005/8/layout/gear1"/>
    <dgm:cxn modelId="{1E20A6D2-543D-4590-9DFB-D611155B1BA2}" type="presParOf" srcId="{D2147CE7-55B5-4289-95EA-E48035A21E7A}" destId="{76545084-0B49-479C-835B-7413B848C4E7}" srcOrd="6" destOrd="0" presId="urn:microsoft.com/office/officeart/2005/8/layout/gear1"/>
    <dgm:cxn modelId="{85FDBD5D-EAC6-40E4-8A4B-D9BB4DBA83AA}" type="presParOf" srcId="{D2147CE7-55B5-4289-95EA-E48035A21E7A}" destId="{A98D2C77-AB2E-4734-BD72-0AAFCDCB3B38}" srcOrd="7" destOrd="0" presId="urn:microsoft.com/office/officeart/2005/8/layout/gear1"/>
    <dgm:cxn modelId="{077073A7-E1AB-4CEA-A40E-6AD8C07C0FDE}" type="presParOf" srcId="{D2147CE7-55B5-4289-95EA-E48035A21E7A}" destId="{B7A8C643-326B-470C-B29A-8CDB28E398D6}" srcOrd="8" destOrd="0" presId="urn:microsoft.com/office/officeart/2005/8/layout/gear1"/>
    <dgm:cxn modelId="{A08265D3-92F0-4ACF-AEF5-2D89C3EF5012}" type="presParOf" srcId="{D2147CE7-55B5-4289-95EA-E48035A21E7A}" destId="{3AF81862-CA10-46E9-B990-31ED7B1C337E}" srcOrd="9" destOrd="0" presId="urn:microsoft.com/office/officeart/2005/8/layout/gear1"/>
    <dgm:cxn modelId="{C1CDC0A6-1E17-4275-A338-3CF74654B871}" type="presParOf" srcId="{D2147CE7-55B5-4289-95EA-E48035A21E7A}" destId="{B37849E0-CEA8-488F-91B6-DCD6996B663B}" srcOrd="10" destOrd="0" presId="urn:microsoft.com/office/officeart/2005/8/layout/gear1"/>
    <dgm:cxn modelId="{76FB698B-80E7-47DC-BD79-DCB718058E17}" type="presParOf" srcId="{D2147CE7-55B5-4289-95EA-E48035A21E7A}" destId="{F866955C-FDD6-4476-A602-38378FC1FF65}" srcOrd="11" destOrd="0" presId="urn:microsoft.com/office/officeart/2005/8/layout/gear1"/>
    <dgm:cxn modelId="{17A92D9B-D5FB-49AE-84DA-E00009BD4E6C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ata4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</dgm:pt>
    <dgm:pt modelId="{137BE4E3-5CDA-48F5-AF51-AD37FDB9CD12}" type="pres">
      <dgm:prSet presAssocID="{3D76B524-8A76-40C1-B814-E94C8DB75581}" presName="gear1srcNode" presStyleLbl="node1" presStyleIdx="0" presStyleCnt="3"/>
      <dgm:spPr/>
    </dgm:pt>
    <dgm:pt modelId="{044497E5-8C0A-41F1-B8EF-6EE2B96D3C1D}" type="pres">
      <dgm:prSet presAssocID="{3D76B524-8A76-40C1-B814-E94C8DB75581}" presName="gear1dstNode" presStyleLbl="node1" presStyleIdx="0" presStyleCnt="3"/>
      <dgm:spPr/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</dgm:pt>
    <dgm:pt modelId="{700D604D-9802-4F72-9388-062E057578B0}" type="pres">
      <dgm:prSet presAssocID="{1C68C4BB-E0CE-4BD4-A250-6BB1313C8102}" presName="gear2srcNode" presStyleLbl="node1" presStyleIdx="1" presStyleCnt="3"/>
      <dgm:spPr/>
    </dgm:pt>
    <dgm:pt modelId="{6E4C15D3-C544-4998-AF52-23101F882761}" type="pres">
      <dgm:prSet presAssocID="{1C68C4BB-E0CE-4BD4-A250-6BB1313C8102}" presName="gear2dstNode" presStyleLbl="node1" presStyleIdx="1" presStyleCnt="3"/>
      <dgm:spPr/>
    </dgm:pt>
    <dgm:pt modelId="{76545084-0B49-479C-835B-7413B848C4E7}" type="pres">
      <dgm:prSet presAssocID="{B1FE7251-DD78-43DC-9EFE-35E755B8C113}" presName="gear3" presStyleLbl="node1" presStyleIdx="2" presStyleCnt="3"/>
      <dgm:spPr/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</dgm:pt>
    <dgm:pt modelId="{B7A8C643-326B-470C-B29A-8CDB28E398D6}" type="pres">
      <dgm:prSet presAssocID="{B1FE7251-DD78-43DC-9EFE-35E755B8C113}" presName="gear3srcNode" presStyleLbl="node1" presStyleIdx="2" presStyleCnt="3"/>
      <dgm:spPr/>
    </dgm:pt>
    <dgm:pt modelId="{3AF81862-CA10-46E9-B990-31ED7B1C337E}" type="pres">
      <dgm:prSet presAssocID="{B1FE7251-DD78-43DC-9EFE-35E755B8C113}" presName="gear3dstNode" presStyleLbl="node1" presStyleIdx="2" presStyleCnt="3"/>
      <dgm:spPr/>
    </dgm:pt>
    <dgm:pt modelId="{B37849E0-CEA8-488F-91B6-DCD6996B663B}" type="pres">
      <dgm:prSet presAssocID="{3346F7C9-2BEC-483F-AA76-59D108DC6B49}" presName="connector1" presStyleLbl="sibTrans2D1" presStyleIdx="0" presStyleCnt="3"/>
      <dgm:spPr/>
    </dgm:pt>
    <dgm:pt modelId="{F866955C-FDD6-4476-A602-38378FC1FF65}" type="pres">
      <dgm:prSet presAssocID="{90BC29A1-EAB1-4B07-BFBE-43D30ADE786F}" presName="connector2" presStyleLbl="sibTrans2D1" presStyleIdx="1" presStyleCnt="3"/>
      <dgm:spPr/>
    </dgm:pt>
    <dgm:pt modelId="{47172D9C-3CDF-4F63-B3B0-178F68183869}" type="pres">
      <dgm:prSet presAssocID="{EFC6E8EB-5017-42DF-B53D-6BC9750F37C4}" presName="connector3" presStyleLbl="sibTrans2D1" presStyleIdx="2" presStyleCnt="3"/>
      <dgm:spPr/>
    </dgm:pt>
  </dgm:ptLst>
  <dgm:cxnLst>
    <dgm:cxn modelId="{5A698311-CCEB-4D11-A57B-68054F3004C2}" type="presOf" srcId="{B1FE7251-DD78-43DC-9EFE-35E755B8C113}" destId="{A98D2C77-AB2E-4734-BD72-0AAFCDCB3B38}" srcOrd="1" destOrd="0" presId="urn:microsoft.com/office/officeart/2005/8/layout/gear1"/>
    <dgm:cxn modelId="{DE39D314-FA2F-4A8C-8D62-3F42CC5DC357}" type="presOf" srcId="{B1FE7251-DD78-43DC-9EFE-35E755B8C113}" destId="{3AF81862-CA10-46E9-B990-31ED7B1C337E}" srcOrd="3" destOrd="0" presId="urn:microsoft.com/office/officeart/2005/8/layout/gear1"/>
    <dgm:cxn modelId="{B6F56C1F-E60F-4206-9447-219560060CF0}" type="presOf" srcId="{3D76B524-8A76-40C1-B814-E94C8DB75581}" destId="{CCF3D23A-09EE-4067-A641-DD59D0533FC8}" srcOrd="0" destOrd="0" presId="urn:microsoft.com/office/officeart/2005/8/layout/gear1"/>
    <dgm:cxn modelId="{90554036-9F33-420A-BD25-4455A20AD956}" type="presOf" srcId="{3346F7C9-2BEC-483F-AA76-59D108DC6B49}" destId="{B37849E0-CEA8-488F-91B6-DCD6996B663B}" srcOrd="0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B47A2A3F-03A6-4973-8505-B0947221BA08}" type="presOf" srcId="{1C68C4BB-E0CE-4BD4-A250-6BB1313C8102}" destId="{6E4C15D3-C544-4998-AF52-23101F882761}" srcOrd="2" destOrd="0" presId="urn:microsoft.com/office/officeart/2005/8/layout/gear1"/>
    <dgm:cxn modelId="{07DEC75C-3CCF-47F0-B4CC-2F490B834A38}" type="presOf" srcId="{EFC6E8EB-5017-42DF-B53D-6BC9750F37C4}" destId="{47172D9C-3CDF-4F63-B3B0-178F68183869}" srcOrd="0" destOrd="0" presId="urn:microsoft.com/office/officeart/2005/8/layout/gear1"/>
    <dgm:cxn modelId="{3339E160-338E-4A2F-BCE7-718FD4EFE4A0}" type="presOf" srcId="{1C68C4BB-E0CE-4BD4-A250-6BB1313C8102}" destId="{92C8D4F5-79A2-46B4-ACB2-76BAF8E81BD2}" srcOrd="0" destOrd="0" presId="urn:microsoft.com/office/officeart/2005/8/layout/gear1"/>
    <dgm:cxn modelId="{F458A86C-3375-4691-B9E0-2B44231570C8}" type="presOf" srcId="{B1FE7251-DD78-43DC-9EFE-35E755B8C113}" destId="{76545084-0B49-479C-835B-7413B848C4E7}" srcOrd="0" destOrd="0" presId="urn:microsoft.com/office/officeart/2005/8/layout/gear1"/>
    <dgm:cxn modelId="{C4704C58-5C50-4726-A01B-0FD3A006EA6B}" type="presOf" srcId="{1C68C4BB-E0CE-4BD4-A250-6BB1313C8102}" destId="{700D604D-9802-4F72-9388-062E057578B0}" srcOrd="1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299A2F88-2F9E-4422-9F97-C3AB6826C20E}" type="presOf" srcId="{3D76B524-8A76-40C1-B814-E94C8DB75581}" destId="{137BE4E3-5CDA-48F5-AF51-AD37FDB9CD12}" srcOrd="1" destOrd="0" presId="urn:microsoft.com/office/officeart/2005/8/layout/gear1"/>
    <dgm:cxn modelId="{566D4F9C-F4DB-4250-8E43-99DF72C2FA64}" type="presOf" srcId="{B1FE7251-DD78-43DC-9EFE-35E755B8C113}" destId="{B7A8C643-326B-470C-B29A-8CDB28E398D6}" srcOrd="2" destOrd="0" presId="urn:microsoft.com/office/officeart/2005/8/layout/gear1"/>
    <dgm:cxn modelId="{EB3443E7-D218-4505-A1A2-79FEE195EF89}" type="presOf" srcId="{90BC29A1-EAB1-4B07-BFBE-43D30ADE786F}" destId="{F866955C-FDD6-4476-A602-38378FC1FF65}" srcOrd="0" destOrd="0" presId="urn:microsoft.com/office/officeart/2005/8/layout/gear1"/>
    <dgm:cxn modelId="{7F2EEFEE-C5C1-459A-95F2-27D7464262F6}" type="presOf" srcId="{20027F76-6EF2-4DD8-BE41-A475A2100245}" destId="{D2147CE7-55B5-4289-95EA-E48035A21E7A}" srcOrd="0" destOrd="0" presId="urn:microsoft.com/office/officeart/2005/8/layout/gear1"/>
    <dgm:cxn modelId="{8AE2D7F0-EC4D-4E2A-BF4E-DCE7AD59FB9E}" type="presOf" srcId="{3D76B524-8A76-40C1-B814-E94C8DB75581}" destId="{044497E5-8C0A-41F1-B8EF-6EE2B96D3C1D}" srcOrd="2" destOrd="0" presId="urn:microsoft.com/office/officeart/2005/8/layout/gear1"/>
    <dgm:cxn modelId="{6C6FA690-8D71-4131-902A-3B8B21C2F4E6}" type="presParOf" srcId="{D2147CE7-55B5-4289-95EA-E48035A21E7A}" destId="{CCF3D23A-09EE-4067-A641-DD59D0533FC8}" srcOrd="0" destOrd="0" presId="urn:microsoft.com/office/officeart/2005/8/layout/gear1"/>
    <dgm:cxn modelId="{B4A50A60-1774-4561-AEF3-1DC66DE25EA4}" type="presParOf" srcId="{D2147CE7-55B5-4289-95EA-E48035A21E7A}" destId="{137BE4E3-5CDA-48F5-AF51-AD37FDB9CD12}" srcOrd="1" destOrd="0" presId="urn:microsoft.com/office/officeart/2005/8/layout/gear1"/>
    <dgm:cxn modelId="{E975321F-68B9-47F1-93FF-276E3EB88446}" type="presParOf" srcId="{D2147CE7-55B5-4289-95EA-E48035A21E7A}" destId="{044497E5-8C0A-41F1-B8EF-6EE2B96D3C1D}" srcOrd="2" destOrd="0" presId="urn:microsoft.com/office/officeart/2005/8/layout/gear1"/>
    <dgm:cxn modelId="{8D2976AF-6832-4CAE-89E0-ABE100EB659E}" type="presParOf" srcId="{D2147CE7-55B5-4289-95EA-E48035A21E7A}" destId="{92C8D4F5-79A2-46B4-ACB2-76BAF8E81BD2}" srcOrd="3" destOrd="0" presId="urn:microsoft.com/office/officeart/2005/8/layout/gear1"/>
    <dgm:cxn modelId="{849F7B8E-F2D3-4B29-A677-5ED102D562A0}" type="presParOf" srcId="{D2147CE7-55B5-4289-95EA-E48035A21E7A}" destId="{700D604D-9802-4F72-9388-062E057578B0}" srcOrd="4" destOrd="0" presId="urn:microsoft.com/office/officeart/2005/8/layout/gear1"/>
    <dgm:cxn modelId="{446224A7-425A-462B-A527-3E32549138E1}" type="presParOf" srcId="{D2147CE7-55B5-4289-95EA-E48035A21E7A}" destId="{6E4C15D3-C544-4998-AF52-23101F882761}" srcOrd="5" destOrd="0" presId="urn:microsoft.com/office/officeart/2005/8/layout/gear1"/>
    <dgm:cxn modelId="{A176863A-09BF-4270-8F06-BC368EDF19AB}" type="presParOf" srcId="{D2147CE7-55B5-4289-95EA-E48035A21E7A}" destId="{76545084-0B49-479C-835B-7413B848C4E7}" srcOrd="6" destOrd="0" presId="urn:microsoft.com/office/officeart/2005/8/layout/gear1"/>
    <dgm:cxn modelId="{B379B1F7-92C4-4EF0-B119-8639BF3B04EC}" type="presParOf" srcId="{D2147CE7-55B5-4289-95EA-E48035A21E7A}" destId="{A98D2C77-AB2E-4734-BD72-0AAFCDCB3B38}" srcOrd="7" destOrd="0" presId="urn:microsoft.com/office/officeart/2005/8/layout/gear1"/>
    <dgm:cxn modelId="{2539EEBA-DB36-458F-A22A-54560448CCC0}" type="presParOf" srcId="{D2147CE7-55B5-4289-95EA-E48035A21E7A}" destId="{B7A8C643-326B-470C-B29A-8CDB28E398D6}" srcOrd="8" destOrd="0" presId="urn:microsoft.com/office/officeart/2005/8/layout/gear1"/>
    <dgm:cxn modelId="{91BAF61E-880A-4766-A562-2EB38F5A6646}" type="presParOf" srcId="{D2147CE7-55B5-4289-95EA-E48035A21E7A}" destId="{3AF81862-CA10-46E9-B990-31ED7B1C337E}" srcOrd="9" destOrd="0" presId="urn:microsoft.com/office/officeart/2005/8/layout/gear1"/>
    <dgm:cxn modelId="{09644F41-CDE9-4690-A84E-444E01C341A1}" type="presParOf" srcId="{D2147CE7-55B5-4289-95EA-E48035A21E7A}" destId="{B37849E0-CEA8-488F-91B6-DCD6996B663B}" srcOrd="10" destOrd="0" presId="urn:microsoft.com/office/officeart/2005/8/layout/gear1"/>
    <dgm:cxn modelId="{705A3EDF-66FB-4E14-9B62-57E09914D04E}" type="presParOf" srcId="{D2147CE7-55B5-4289-95EA-E48035A21E7A}" destId="{F866955C-FDD6-4476-A602-38378FC1FF65}" srcOrd="11" destOrd="0" presId="urn:microsoft.com/office/officeart/2005/8/layout/gear1"/>
    <dgm:cxn modelId="{637C855C-DC21-4D4F-B651-9C3A2FFA472A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ata5.xml><?xml version="1.0" encoding="utf-8"?>
<dgm:dataModel xmlns:dgm="http://schemas.openxmlformats.org/drawingml/2006/diagram" xmlns:a="http://schemas.openxmlformats.org/drawingml/2006/main">
  <dgm:ptLst>
    <dgm:pt modelId="{20027F76-6EF2-4DD8-BE41-A475A2100245}" type="doc">
      <dgm:prSet loTypeId="urn:microsoft.com/office/officeart/2005/8/layout/gear1" loCatId="cycle" qsTypeId="urn:microsoft.com/office/officeart/2005/8/quickstyle/simple1" qsCatId="simple" csTypeId="urn:microsoft.com/office/officeart/2005/8/colors/accent1_2" csCatId="accent1" phldr="1"/>
      <dgm:spPr/>
    </dgm:pt>
    <dgm:pt modelId="{3D76B524-8A76-40C1-B814-E94C8DB75581}">
      <dgm:prSet phldrT="[Text]"/>
      <dgm:spPr>
        <a:solidFill>
          <a:schemeClr val="accent6">
            <a:lumMod val="75000"/>
          </a:schemeClr>
        </a:solidFill>
      </dgm:spPr>
      <dgm:t>
        <a:bodyPr/>
        <a:lstStyle/>
        <a:p>
          <a:r>
            <a:rPr lang="en-GB"/>
            <a:t>Person Centered</a:t>
          </a:r>
        </a:p>
      </dgm:t>
    </dgm:pt>
    <dgm:pt modelId="{A3310DDA-A9D7-4A4E-B241-1E3EDC65CD49}" type="parTrans" cxnId="{5F50093B-9033-472D-BB2A-38ED854722C2}">
      <dgm:prSet/>
      <dgm:spPr/>
      <dgm:t>
        <a:bodyPr/>
        <a:lstStyle/>
        <a:p>
          <a:endParaRPr lang="en-GB"/>
        </a:p>
      </dgm:t>
    </dgm:pt>
    <dgm:pt modelId="{3346F7C9-2BEC-483F-AA76-59D108DC6B49}" type="sibTrans" cxnId="{5F50093B-9033-472D-BB2A-38ED854722C2}">
      <dgm:prSet/>
      <dgm:spPr/>
      <dgm:t>
        <a:bodyPr/>
        <a:lstStyle/>
        <a:p>
          <a:endParaRPr lang="en-GB"/>
        </a:p>
      </dgm:t>
    </dgm:pt>
    <dgm:pt modelId="{1C68C4BB-E0CE-4BD4-A250-6BB1313C8102}">
      <dgm:prSet phldrT="[Text]"/>
      <dgm:spPr>
        <a:solidFill>
          <a:schemeClr val="accent2"/>
        </a:solidFill>
      </dgm:spPr>
      <dgm:t>
        <a:bodyPr/>
        <a:lstStyle/>
        <a:p>
          <a:r>
            <a:rPr lang="en-GB"/>
            <a:t>Flow</a:t>
          </a:r>
        </a:p>
      </dgm:t>
    </dgm:pt>
    <dgm:pt modelId="{91049BFE-14B5-4E14-AFD5-C2511293A9D5}" type="parTrans" cxnId="{A93B7C59-BD1B-40BE-81BF-2214A3F181CD}">
      <dgm:prSet/>
      <dgm:spPr/>
      <dgm:t>
        <a:bodyPr/>
        <a:lstStyle/>
        <a:p>
          <a:endParaRPr lang="en-GB"/>
        </a:p>
      </dgm:t>
    </dgm:pt>
    <dgm:pt modelId="{90BC29A1-EAB1-4B07-BFBE-43D30ADE786F}" type="sibTrans" cxnId="{A93B7C59-BD1B-40BE-81BF-2214A3F181CD}">
      <dgm:prSet/>
      <dgm:spPr/>
      <dgm:t>
        <a:bodyPr/>
        <a:lstStyle/>
        <a:p>
          <a:endParaRPr lang="en-GB"/>
        </a:p>
      </dgm:t>
    </dgm:pt>
    <dgm:pt modelId="{B1FE7251-DD78-43DC-9EFE-35E755B8C113}">
      <dgm:prSet phldrT="[Text]"/>
      <dgm:spPr>
        <a:solidFill>
          <a:srgbClr val="00B050"/>
        </a:solidFill>
      </dgm:spPr>
      <dgm:t>
        <a:bodyPr/>
        <a:lstStyle/>
        <a:p>
          <a:r>
            <a:rPr lang="en-GB"/>
            <a:t>Safety</a:t>
          </a:r>
        </a:p>
      </dgm:t>
    </dgm:pt>
    <dgm:pt modelId="{92070967-E4EC-439B-9951-38DB06708A9F}" type="parTrans" cxnId="{2C60297B-D899-4B75-993F-ED88BEB70F59}">
      <dgm:prSet/>
      <dgm:spPr/>
      <dgm:t>
        <a:bodyPr/>
        <a:lstStyle/>
        <a:p>
          <a:endParaRPr lang="en-GB"/>
        </a:p>
      </dgm:t>
    </dgm:pt>
    <dgm:pt modelId="{EFC6E8EB-5017-42DF-B53D-6BC9750F37C4}" type="sibTrans" cxnId="{2C60297B-D899-4B75-993F-ED88BEB70F59}">
      <dgm:prSet/>
      <dgm:spPr/>
      <dgm:t>
        <a:bodyPr/>
        <a:lstStyle/>
        <a:p>
          <a:endParaRPr lang="en-GB"/>
        </a:p>
      </dgm:t>
    </dgm:pt>
    <dgm:pt modelId="{D2147CE7-55B5-4289-95EA-E48035A21E7A}" type="pres">
      <dgm:prSet presAssocID="{20027F76-6EF2-4DD8-BE41-A475A2100245}" presName="composite" presStyleCnt="0">
        <dgm:presLayoutVars>
          <dgm:chMax val="3"/>
          <dgm:animLvl val="lvl"/>
          <dgm:resizeHandles val="exact"/>
        </dgm:presLayoutVars>
      </dgm:prSet>
      <dgm:spPr/>
    </dgm:pt>
    <dgm:pt modelId="{CCF3D23A-09EE-4067-A641-DD59D0533FC8}" type="pres">
      <dgm:prSet presAssocID="{3D76B524-8A76-40C1-B814-E94C8DB75581}" presName="gear1" presStyleLbl="node1" presStyleIdx="0" presStyleCnt="3">
        <dgm:presLayoutVars>
          <dgm:chMax val="1"/>
          <dgm:bulletEnabled val="1"/>
        </dgm:presLayoutVars>
      </dgm:prSet>
      <dgm:spPr/>
    </dgm:pt>
    <dgm:pt modelId="{137BE4E3-5CDA-48F5-AF51-AD37FDB9CD12}" type="pres">
      <dgm:prSet presAssocID="{3D76B524-8A76-40C1-B814-E94C8DB75581}" presName="gear1srcNode" presStyleLbl="node1" presStyleIdx="0" presStyleCnt="3"/>
      <dgm:spPr/>
    </dgm:pt>
    <dgm:pt modelId="{044497E5-8C0A-41F1-B8EF-6EE2B96D3C1D}" type="pres">
      <dgm:prSet presAssocID="{3D76B524-8A76-40C1-B814-E94C8DB75581}" presName="gear1dstNode" presStyleLbl="node1" presStyleIdx="0" presStyleCnt="3"/>
      <dgm:spPr/>
    </dgm:pt>
    <dgm:pt modelId="{92C8D4F5-79A2-46B4-ACB2-76BAF8E81BD2}" type="pres">
      <dgm:prSet presAssocID="{1C68C4BB-E0CE-4BD4-A250-6BB1313C8102}" presName="gear2" presStyleLbl="node1" presStyleIdx="1" presStyleCnt="3" custLinFactNeighborX="4000" custLinFactNeighborY="4000">
        <dgm:presLayoutVars>
          <dgm:chMax val="1"/>
          <dgm:bulletEnabled val="1"/>
        </dgm:presLayoutVars>
      </dgm:prSet>
      <dgm:spPr/>
    </dgm:pt>
    <dgm:pt modelId="{700D604D-9802-4F72-9388-062E057578B0}" type="pres">
      <dgm:prSet presAssocID="{1C68C4BB-E0CE-4BD4-A250-6BB1313C8102}" presName="gear2srcNode" presStyleLbl="node1" presStyleIdx="1" presStyleCnt="3"/>
      <dgm:spPr/>
    </dgm:pt>
    <dgm:pt modelId="{6E4C15D3-C544-4998-AF52-23101F882761}" type="pres">
      <dgm:prSet presAssocID="{1C68C4BB-E0CE-4BD4-A250-6BB1313C8102}" presName="gear2dstNode" presStyleLbl="node1" presStyleIdx="1" presStyleCnt="3"/>
      <dgm:spPr/>
    </dgm:pt>
    <dgm:pt modelId="{76545084-0B49-479C-835B-7413B848C4E7}" type="pres">
      <dgm:prSet presAssocID="{B1FE7251-DD78-43DC-9EFE-35E755B8C113}" presName="gear3" presStyleLbl="node1" presStyleIdx="2" presStyleCnt="3"/>
      <dgm:spPr/>
    </dgm:pt>
    <dgm:pt modelId="{A98D2C77-AB2E-4734-BD72-0AAFCDCB3B38}" type="pres">
      <dgm:prSet presAssocID="{B1FE7251-DD78-43DC-9EFE-35E755B8C113}" presName="gear3tx" presStyleLbl="node1" presStyleIdx="2" presStyleCnt="3">
        <dgm:presLayoutVars>
          <dgm:chMax val="1"/>
          <dgm:bulletEnabled val="1"/>
        </dgm:presLayoutVars>
      </dgm:prSet>
      <dgm:spPr/>
    </dgm:pt>
    <dgm:pt modelId="{B7A8C643-326B-470C-B29A-8CDB28E398D6}" type="pres">
      <dgm:prSet presAssocID="{B1FE7251-DD78-43DC-9EFE-35E755B8C113}" presName="gear3srcNode" presStyleLbl="node1" presStyleIdx="2" presStyleCnt="3"/>
      <dgm:spPr/>
    </dgm:pt>
    <dgm:pt modelId="{3AF81862-CA10-46E9-B990-31ED7B1C337E}" type="pres">
      <dgm:prSet presAssocID="{B1FE7251-DD78-43DC-9EFE-35E755B8C113}" presName="gear3dstNode" presStyleLbl="node1" presStyleIdx="2" presStyleCnt="3"/>
      <dgm:spPr/>
    </dgm:pt>
    <dgm:pt modelId="{B37849E0-CEA8-488F-91B6-DCD6996B663B}" type="pres">
      <dgm:prSet presAssocID="{3346F7C9-2BEC-483F-AA76-59D108DC6B49}" presName="connector1" presStyleLbl="sibTrans2D1" presStyleIdx="0" presStyleCnt="3"/>
      <dgm:spPr/>
    </dgm:pt>
    <dgm:pt modelId="{F866955C-FDD6-4476-A602-38378FC1FF65}" type="pres">
      <dgm:prSet presAssocID="{90BC29A1-EAB1-4B07-BFBE-43D30ADE786F}" presName="connector2" presStyleLbl="sibTrans2D1" presStyleIdx="1" presStyleCnt="3"/>
      <dgm:spPr/>
    </dgm:pt>
    <dgm:pt modelId="{47172D9C-3CDF-4F63-B3B0-178F68183869}" type="pres">
      <dgm:prSet presAssocID="{EFC6E8EB-5017-42DF-B53D-6BC9750F37C4}" presName="connector3" presStyleLbl="sibTrans2D1" presStyleIdx="2" presStyleCnt="3"/>
      <dgm:spPr/>
    </dgm:pt>
  </dgm:ptLst>
  <dgm:cxnLst>
    <dgm:cxn modelId="{AAC6FB0F-FC3A-4295-9597-7A7507B89D43}" type="presOf" srcId="{1C68C4BB-E0CE-4BD4-A250-6BB1313C8102}" destId="{92C8D4F5-79A2-46B4-ACB2-76BAF8E81BD2}" srcOrd="0" destOrd="0" presId="urn:microsoft.com/office/officeart/2005/8/layout/gear1"/>
    <dgm:cxn modelId="{567E0F26-8291-4155-B211-9942831F761A}" type="presOf" srcId="{B1FE7251-DD78-43DC-9EFE-35E755B8C113}" destId="{3AF81862-CA10-46E9-B990-31ED7B1C337E}" srcOrd="3" destOrd="0" presId="urn:microsoft.com/office/officeart/2005/8/layout/gear1"/>
    <dgm:cxn modelId="{59371326-422E-489A-9CFD-287FBB46BAB3}" type="presOf" srcId="{3D76B524-8A76-40C1-B814-E94C8DB75581}" destId="{044497E5-8C0A-41F1-B8EF-6EE2B96D3C1D}" srcOrd="2" destOrd="0" presId="urn:microsoft.com/office/officeart/2005/8/layout/gear1"/>
    <dgm:cxn modelId="{95401136-4AB0-427C-BB59-F0510A464F82}" type="presOf" srcId="{B1FE7251-DD78-43DC-9EFE-35E755B8C113}" destId="{B7A8C643-326B-470C-B29A-8CDB28E398D6}" srcOrd="2" destOrd="0" presId="urn:microsoft.com/office/officeart/2005/8/layout/gear1"/>
    <dgm:cxn modelId="{5F50093B-9033-472D-BB2A-38ED854722C2}" srcId="{20027F76-6EF2-4DD8-BE41-A475A2100245}" destId="{3D76B524-8A76-40C1-B814-E94C8DB75581}" srcOrd="0" destOrd="0" parTransId="{A3310DDA-A9D7-4A4E-B241-1E3EDC65CD49}" sibTransId="{3346F7C9-2BEC-483F-AA76-59D108DC6B49}"/>
    <dgm:cxn modelId="{389FD53F-38AC-417D-ADB4-DB7511D9E433}" type="presOf" srcId="{B1FE7251-DD78-43DC-9EFE-35E755B8C113}" destId="{76545084-0B49-479C-835B-7413B848C4E7}" srcOrd="0" destOrd="0" presId="urn:microsoft.com/office/officeart/2005/8/layout/gear1"/>
    <dgm:cxn modelId="{61195E5B-30C6-49E5-A734-F5D446E4F5B4}" type="presOf" srcId="{90BC29A1-EAB1-4B07-BFBE-43D30ADE786F}" destId="{F866955C-FDD6-4476-A602-38378FC1FF65}" srcOrd="0" destOrd="0" presId="urn:microsoft.com/office/officeart/2005/8/layout/gear1"/>
    <dgm:cxn modelId="{D157DF60-5C5D-4BBB-8618-7383BD41007F}" type="presOf" srcId="{20027F76-6EF2-4DD8-BE41-A475A2100245}" destId="{D2147CE7-55B5-4289-95EA-E48035A21E7A}" srcOrd="0" destOrd="0" presId="urn:microsoft.com/office/officeart/2005/8/layout/gear1"/>
    <dgm:cxn modelId="{3D5C7D6A-71ED-4AC5-8863-790461F92E41}" type="presOf" srcId="{3D76B524-8A76-40C1-B814-E94C8DB75581}" destId="{137BE4E3-5CDA-48F5-AF51-AD37FDB9CD12}" srcOrd="1" destOrd="0" presId="urn:microsoft.com/office/officeart/2005/8/layout/gear1"/>
    <dgm:cxn modelId="{A93B7C59-BD1B-40BE-81BF-2214A3F181CD}" srcId="{20027F76-6EF2-4DD8-BE41-A475A2100245}" destId="{1C68C4BB-E0CE-4BD4-A250-6BB1313C8102}" srcOrd="1" destOrd="0" parTransId="{91049BFE-14B5-4E14-AFD5-C2511293A9D5}" sibTransId="{90BC29A1-EAB1-4B07-BFBE-43D30ADE786F}"/>
    <dgm:cxn modelId="{2C60297B-D899-4B75-993F-ED88BEB70F59}" srcId="{20027F76-6EF2-4DD8-BE41-A475A2100245}" destId="{B1FE7251-DD78-43DC-9EFE-35E755B8C113}" srcOrd="2" destOrd="0" parTransId="{92070967-E4EC-439B-9951-38DB06708A9F}" sibTransId="{EFC6E8EB-5017-42DF-B53D-6BC9750F37C4}"/>
    <dgm:cxn modelId="{BF39EC88-E6DD-4E8D-9AC1-762F99D36EFD}" type="presOf" srcId="{3346F7C9-2BEC-483F-AA76-59D108DC6B49}" destId="{B37849E0-CEA8-488F-91B6-DCD6996B663B}" srcOrd="0" destOrd="0" presId="urn:microsoft.com/office/officeart/2005/8/layout/gear1"/>
    <dgm:cxn modelId="{0042669D-D4DC-4A3E-A8D8-37C868BA1136}" type="presOf" srcId="{3D76B524-8A76-40C1-B814-E94C8DB75581}" destId="{CCF3D23A-09EE-4067-A641-DD59D0533FC8}" srcOrd="0" destOrd="0" presId="urn:microsoft.com/office/officeart/2005/8/layout/gear1"/>
    <dgm:cxn modelId="{EC07A9DF-768B-41B2-B06F-9B543EA65FD6}" type="presOf" srcId="{EFC6E8EB-5017-42DF-B53D-6BC9750F37C4}" destId="{47172D9C-3CDF-4F63-B3B0-178F68183869}" srcOrd="0" destOrd="0" presId="urn:microsoft.com/office/officeart/2005/8/layout/gear1"/>
    <dgm:cxn modelId="{97B3AEEB-235E-4015-AE3A-83A2291169EF}" type="presOf" srcId="{1C68C4BB-E0CE-4BD4-A250-6BB1313C8102}" destId="{700D604D-9802-4F72-9388-062E057578B0}" srcOrd="1" destOrd="0" presId="urn:microsoft.com/office/officeart/2005/8/layout/gear1"/>
    <dgm:cxn modelId="{0A0836EC-681A-4E7A-BA4E-CB92320566E6}" type="presOf" srcId="{B1FE7251-DD78-43DC-9EFE-35E755B8C113}" destId="{A98D2C77-AB2E-4734-BD72-0AAFCDCB3B38}" srcOrd="1" destOrd="0" presId="urn:microsoft.com/office/officeart/2005/8/layout/gear1"/>
    <dgm:cxn modelId="{C17347ED-040B-430E-920E-1F0FA7FD726C}" type="presOf" srcId="{1C68C4BB-E0CE-4BD4-A250-6BB1313C8102}" destId="{6E4C15D3-C544-4998-AF52-23101F882761}" srcOrd="2" destOrd="0" presId="urn:microsoft.com/office/officeart/2005/8/layout/gear1"/>
    <dgm:cxn modelId="{5406136B-1E98-41B4-A477-F79B5BD09848}" type="presParOf" srcId="{D2147CE7-55B5-4289-95EA-E48035A21E7A}" destId="{CCF3D23A-09EE-4067-A641-DD59D0533FC8}" srcOrd="0" destOrd="0" presId="urn:microsoft.com/office/officeart/2005/8/layout/gear1"/>
    <dgm:cxn modelId="{E881CB4F-C5F8-49C3-A478-F36C5D59124E}" type="presParOf" srcId="{D2147CE7-55B5-4289-95EA-E48035A21E7A}" destId="{137BE4E3-5CDA-48F5-AF51-AD37FDB9CD12}" srcOrd="1" destOrd="0" presId="urn:microsoft.com/office/officeart/2005/8/layout/gear1"/>
    <dgm:cxn modelId="{70F8D8CD-F336-4AA3-A447-4BD678096453}" type="presParOf" srcId="{D2147CE7-55B5-4289-95EA-E48035A21E7A}" destId="{044497E5-8C0A-41F1-B8EF-6EE2B96D3C1D}" srcOrd="2" destOrd="0" presId="urn:microsoft.com/office/officeart/2005/8/layout/gear1"/>
    <dgm:cxn modelId="{9B125B1E-B7E4-4389-8CDB-71A25B2FC21A}" type="presParOf" srcId="{D2147CE7-55B5-4289-95EA-E48035A21E7A}" destId="{92C8D4F5-79A2-46B4-ACB2-76BAF8E81BD2}" srcOrd="3" destOrd="0" presId="urn:microsoft.com/office/officeart/2005/8/layout/gear1"/>
    <dgm:cxn modelId="{43A61AE4-C6B5-4E32-863F-A454FB11EEB2}" type="presParOf" srcId="{D2147CE7-55B5-4289-95EA-E48035A21E7A}" destId="{700D604D-9802-4F72-9388-062E057578B0}" srcOrd="4" destOrd="0" presId="urn:microsoft.com/office/officeart/2005/8/layout/gear1"/>
    <dgm:cxn modelId="{368216D3-9B47-404E-AF07-07B6EDD8CB05}" type="presParOf" srcId="{D2147CE7-55B5-4289-95EA-E48035A21E7A}" destId="{6E4C15D3-C544-4998-AF52-23101F882761}" srcOrd="5" destOrd="0" presId="urn:microsoft.com/office/officeart/2005/8/layout/gear1"/>
    <dgm:cxn modelId="{07CD9922-646A-46BB-948F-F4D66D71F02C}" type="presParOf" srcId="{D2147CE7-55B5-4289-95EA-E48035A21E7A}" destId="{76545084-0B49-479C-835B-7413B848C4E7}" srcOrd="6" destOrd="0" presId="urn:microsoft.com/office/officeart/2005/8/layout/gear1"/>
    <dgm:cxn modelId="{EBDDC46C-5EF2-4034-B3C1-426CAE61C6F9}" type="presParOf" srcId="{D2147CE7-55B5-4289-95EA-E48035A21E7A}" destId="{A98D2C77-AB2E-4734-BD72-0AAFCDCB3B38}" srcOrd="7" destOrd="0" presId="urn:microsoft.com/office/officeart/2005/8/layout/gear1"/>
    <dgm:cxn modelId="{754F7174-5A18-49B6-94A8-825621EBE77B}" type="presParOf" srcId="{D2147CE7-55B5-4289-95EA-E48035A21E7A}" destId="{B7A8C643-326B-470C-B29A-8CDB28E398D6}" srcOrd="8" destOrd="0" presId="urn:microsoft.com/office/officeart/2005/8/layout/gear1"/>
    <dgm:cxn modelId="{C03BE0CB-90DD-4A98-891B-08E655C5D110}" type="presParOf" srcId="{D2147CE7-55B5-4289-95EA-E48035A21E7A}" destId="{3AF81862-CA10-46E9-B990-31ED7B1C337E}" srcOrd="9" destOrd="0" presId="urn:microsoft.com/office/officeart/2005/8/layout/gear1"/>
    <dgm:cxn modelId="{B5532607-729C-4745-A335-632A540F7ED3}" type="presParOf" srcId="{D2147CE7-55B5-4289-95EA-E48035A21E7A}" destId="{B37849E0-CEA8-488F-91B6-DCD6996B663B}" srcOrd="10" destOrd="0" presId="urn:microsoft.com/office/officeart/2005/8/layout/gear1"/>
    <dgm:cxn modelId="{0B1C9696-C121-48A6-B6C5-749756583A69}" type="presParOf" srcId="{D2147CE7-55B5-4289-95EA-E48035A21E7A}" destId="{F866955C-FDD6-4476-A602-38378FC1FF65}" srcOrd="11" destOrd="0" presId="urn:microsoft.com/office/officeart/2005/8/layout/gear1"/>
    <dgm:cxn modelId="{AE0CABC0-149A-4534-A736-A02DD362E401}" type="presParOf" srcId="{D2147CE7-55B5-4289-95EA-E48035A21E7A}" destId="{47172D9C-3CDF-4F63-B3B0-178F68183869}" srcOrd="12" destOrd="0" presId="urn:microsoft.com/office/officeart/2005/8/layout/gear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514950" y="494657"/>
          <a:ext cx="604582" cy="604582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Person Centered</a:t>
          </a:r>
        </a:p>
      </dsp:txBody>
      <dsp:txXfrm>
        <a:off x="636498" y="636277"/>
        <a:ext cx="361486" cy="310768"/>
      </dsp:txXfrm>
    </dsp:sp>
    <dsp:sp modelId="{92C8D4F5-79A2-46B4-ACB2-76BAF8E81BD2}">
      <dsp:nvSpPr>
        <dsp:cNvPr id="0" name=""/>
        <dsp:cNvSpPr/>
      </dsp:nvSpPr>
      <dsp:spPr>
        <a:xfrm>
          <a:off x="180781" y="369344"/>
          <a:ext cx="439696" cy="439696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Flow</a:t>
          </a:r>
        </a:p>
      </dsp:txBody>
      <dsp:txXfrm>
        <a:off x="291476" y="480708"/>
        <a:ext cx="218306" cy="216968"/>
      </dsp:txXfrm>
    </dsp:sp>
    <dsp:sp modelId="{76545084-0B49-479C-835B-7413B848C4E7}">
      <dsp:nvSpPr>
        <dsp:cNvPr id="0" name=""/>
        <dsp:cNvSpPr/>
      </dsp:nvSpPr>
      <dsp:spPr>
        <a:xfrm rot="20700000">
          <a:off x="409468" y="48411"/>
          <a:ext cx="430812" cy="430812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Safety</a:t>
          </a:r>
        </a:p>
      </dsp:txBody>
      <dsp:txXfrm rot="-20700000">
        <a:off x="503958" y="142901"/>
        <a:ext cx="241832" cy="241832"/>
      </dsp:txXfrm>
    </dsp:sp>
    <dsp:sp modelId="{B37849E0-CEA8-488F-91B6-DCD6996B663B}">
      <dsp:nvSpPr>
        <dsp:cNvPr id="0" name=""/>
        <dsp:cNvSpPr/>
      </dsp:nvSpPr>
      <dsp:spPr>
        <a:xfrm>
          <a:off x="440673" y="417814"/>
          <a:ext cx="773864" cy="773864"/>
        </a:xfrm>
        <a:prstGeom prst="circularArrow">
          <a:avLst>
            <a:gd name="adj1" fmla="val 4687"/>
            <a:gd name="adj2" fmla="val 299029"/>
            <a:gd name="adj3" fmla="val 2314180"/>
            <a:gd name="adj4" fmla="val 16399269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85324" y="267751"/>
          <a:ext cx="562261" cy="562261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309816" y="-32670"/>
          <a:ext cx="606230" cy="606230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514950" y="494657"/>
          <a:ext cx="604582" cy="604582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Person Centered</a:t>
          </a:r>
        </a:p>
      </dsp:txBody>
      <dsp:txXfrm>
        <a:off x="636498" y="636277"/>
        <a:ext cx="361486" cy="310768"/>
      </dsp:txXfrm>
    </dsp:sp>
    <dsp:sp modelId="{92C8D4F5-79A2-46B4-ACB2-76BAF8E81BD2}">
      <dsp:nvSpPr>
        <dsp:cNvPr id="0" name=""/>
        <dsp:cNvSpPr/>
      </dsp:nvSpPr>
      <dsp:spPr>
        <a:xfrm>
          <a:off x="180781" y="369344"/>
          <a:ext cx="439696" cy="439696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Flow</a:t>
          </a:r>
        </a:p>
      </dsp:txBody>
      <dsp:txXfrm>
        <a:off x="291476" y="480708"/>
        <a:ext cx="218306" cy="216968"/>
      </dsp:txXfrm>
    </dsp:sp>
    <dsp:sp modelId="{76545084-0B49-479C-835B-7413B848C4E7}">
      <dsp:nvSpPr>
        <dsp:cNvPr id="0" name=""/>
        <dsp:cNvSpPr/>
      </dsp:nvSpPr>
      <dsp:spPr>
        <a:xfrm rot="20700000">
          <a:off x="409468" y="48411"/>
          <a:ext cx="430812" cy="430812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Safety</a:t>
          </a:r>
        </a:p>
      </dsp:txBody>
      <dsp:txXfrm rot="-20700000">
        <a:off x="503958" y="142901"/>
        <a:ext cx="241832" cy="241832"/>
      </dsp:txXfrm>
    </dsp:sp>
    <dsp:sp modelId="{B37849E0-CEA8-488F-91B6-DCD6996B663B}">
      <dsp:nvSpPr>
        <dsp:cNvPr id="0" name=""/>
        <dsp:cNvSpPr/>
      </dsp:nvSpPr>
      <dsp:spPr>
        <a:xfrm>
          <a:off x="440673" y="417814"/>
          <a:ext cx="773864" cy="773864"/>
        </a:xfrm>
        <a:prstGeom prst="circularArrow">
          <a:avLst>
            <a:gd name="adj1" fmla="val 4687"/>
            <a:gd name="adj2" fmla="val 299029"/>
            <a:gd name="adj3" fmla="val 2314180"/>
            <a:gd name="adj4" fmla="val 16399269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85324" y="267751"/>
          <a:ext cx="562261" cy="562261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309816" y="-32670"/>
          <a:ext cx="606230" cy="606230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3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514950" y="494657"/>
          <a:ext cx="604582" cy="604582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Person Centered</a:t>
          </a:r>
        </a:p>
      </dsp:txBody>
      <dsp:txXfrm>
        <a:off x="636498" y="636277"/>
        <a:ext cx="361486" cy="310768"/>
      </dsp:txXfrm>
    </dsp:sp>
    <dsp:sp modelId="{92C8D4F5-79A2-46B4-ACB2-76BAF8E81BD2}">
      <dsp:nvSpPr>
        <dsp:cNvPr id="0" name=""/>
        <dsp:cNvSpPr/>
      </dsp:nvSpPr>
      <dsp:spPr>
        <a:xfrm>
          <a:off x="180781" y="369344"/>
          <a:ext cx="439696" cy="439696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Flow</a:t>
          </a:r>
        </a:p>
      </dsp:txBody>
      <dsp:txXfrm>
        <a:off x="291476" y="480708"/>
        <a:ext cx="218306" cy="216968"/>
      </dsp:txXfrm>
    </dsp:sp>
    <dsp:sp modelId="{76545084-0B49-479C-835B-7413B848C4E7}">
      <dsp:nvSpPr>
        <dsp:cNvPr id="0" name=""/>
        <dsp:cNvSpPr/>
      </dsp:nvSpPr>
      <dsp:spPr>
        <a:xfrm rot="20700000">
          <a:off x="409468" y="48411"/>
          <a:ext cx="430812" cy="430812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Safety</a:t>
          </a:r>
        </a:p>
      </dsp:txBody>
      <dsp:txXfrm rot="-20700000">
        <a:off x="503958" y="142901"/>
        <a:ext cx="241832" cy="241832"/>
      </dsp:txXfrm>
    </dsp:sp>
    <dsp:sp modelId="{B37849E0-CEA8-488F-91B6-DCD6996B663B}">
      <dsp:nvSpPr>
        <dsp:cNvPr id="0" name=""/>
        <dsp:cNvSpPr/>
      </dsp:nvSpPr>
      <dsp:spPr>
        <a:xfrm>
          <a:off x="440673" y="417814"/>
          <a:ext cx="773864" cy="773864"/>
        </a:xfrm>
        <a:prstGeom prst="circularArrow">
          <a:avLst>
            <a:gd name="adj1" fmla="val 4687"/>
            <a:gd name="adj2" fmla="val 299029"/>
            <a:gd name="adj3" fmla="val 2314180"/>
            <a:gd name="adj4" fmla="val 16399269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85324" y="267751"/>
          <a:ext cx="562261" cy="562261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309816" y="-32670"/>
          <a:ext cx="606230" cy="606230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4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514950" y="494657"/>
          <a:ext cx="604582" cy="604582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Person Centered</a:t>
          </a:r>
        </a:p>
      </dsp:txBody>
      <dsp:txXfrm>
        <a:off x="636498" y="636277"/>
        <a:ext cx="361486" cy="310768"/>
      </dsp:txXfrm>
    </dsp:sp>
    <dsp:sp modelId="{92C8D4F5-79A2-46B4-ACB2-76BAF8E81BD2}">
      <dsp:nvSpPr>
        <dsp:cNvPr id="0" name=""/>
        <dsp:cNvSpPr/>
      </dsp:nvSpPr>
      <dsp:spPr>
        <a:xfrm>
          <a:off x="180781" y="369344"/>
          <a:ext cx="439696" cy="439696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Flow</a:t>
          </a:r>
        </a:p>
      </dsp:txBody>
      <dsp:txXfrm>
        <a:off x="291476" y="480708"/>
        <a:ext cx="218306" cy="216968"/>
      </dsp:txXfrm>
    </dsp:sp>
    <dsp:sp modelId="{76545084-0B49-479C-835B-7413B848C4E7}">
      <dsp:nvSpPr>
        <dsp:cNvPr id="0" name=""/>
        <dsp:cNvSpPr/>
      </dsp:nvSpPr>
      <dsp:spPr>
        <a:xfrm rot="20700000">
          <a:off x="409468" y="48411"/>
          <a:ext cx="430812" cy="430812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Safety</a:t>
          </a:r>
        </a:p>
      </dsp:txBody>
      <dsp:txXfrm rot="-20700000">
        <a:off x="503958" y="142901"/>
        <a:ext cx="241832" cy="241832"/>
      </dsp:txXfrm>
    </dsp:sp>
    <dsp:sp modelId="{B37849E0-CEA8-488F-91B6-DCD6996B663B}">
      <dsp:nvSpPr>
        <dsp:cNvPr id="0" name=""/>
        <dsp:cNvSpPr/>
      </dsp:nvSpPr>
      <dsp:spPr>
        <a:xfrm>
          <a:off x="440673" y="417814"/>
          <a:ext cx="773864" cy="773864"/>
        </a:xfrm>
        <a:prstGeom prst="circularArrow">
          <a:avLst>
            <a:gd name="adj1" fmla="val 4687"/>
            <a:gd name="adj2" fmla="val 299029"/>
            <a:gd name="adj3" fmla="val 2314180"/>
            <a:gd name="adj4" fmla="val 16399269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85324" y="267751"/>
          <a:ext cx="562261" cy="562261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309816" y="-32670"/>
          <a:ext cx="606230" cy="606230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drawing5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CF3D23A-09EE-4067-A641-DD59D0533FC8}">
      <dsp:nvSpPr>
        <dsp:cNvPr id="0" name=""/>
        <dsp:cNvSpPr/>
      </dsp:nvSpPr>
      <dsp:spPr>
        <a:xfrm>
          <a:off x="514950" y="494657"/>
          <a:ext cx="604582" cy="604582"/>
        </a:xfrm>
        <a:prstGeom prst="gear9">
          <a:avLst/>
        </a:prstGeom>
        <a:solidFill>
          <a:schemeClr val="accent6">
            <a:lumMod val="75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Person Centered</a:t>
          </a:r>
        </a:p>
      </dsp:txBody>
      <dsp:txXfrm>
        <a:off x="636498" y="636277"/>
        <a:ext cx="361486" cy="310768"/>
      </dsp:txXfrm>
    </dsp:sp>
    <dsp:sp modelId="{92C8D4F5-79A2-46B4-ACB2-76BAF8E81BD2}">
      <dsp:nvSpPr>
        <dsp:cNvPr id="0" name=""/>
        <dsp:cNvSpPr/>
      </dsp:nvSpPr>
      <dsp:spPr>
        <a:xfrm>
          <a:off x="180781" y="369344"/>
          <a:ext cx="439696" cy="439696"/>
        </a:xfrm>
        <a:prstGeom prst="gear6">
          <a:avLst/>
        </a:prstGeom>
        <a:solidFill>
          <a:schemeClr val="accent2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Flow</a:t>
          </a:r>
        </a:p>
      </dsp:txBody>
      <dsp:txXfrm>
        <a:off x="291476" y="480708"/>
        <a:ext cx="218306" cy="216968"/>
      </dsp:txXfrm>
    </dsp:sp>
    <dsp:sp modelId="{76545084-0B49-479C-835B-7413B848C4E7}">
      <dsp:nvSpPr>
        <dsp:cNvPr id="0" name=""/>
        <dsp:cNvSpPr/>
      </dsp:nvSpPr>
      <dsp:spPr>
        <a:xfrm rot="20700000">
          <a:off x="409468" y="48411"/>
          <a:ext cx="430812" cy="430812"/>
        </a:xfrm>
        <a:prstGeom prst="gear6">
          <a:avLst/>
        </a:prstGeom>
        <a:solidFill>
          <a:srgbClr val="00B050"/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7620" tIns="7620" rIns="7620" bIns="7620" numCol="1" spcCol="1270" anchor="ctr" anchorCtr="0">
          <a:noAutofit/>
        </a:bodyPr>
        <a:lstStyle/>
        <a:p>
          <a:pPr marL="0" lvl="0" indent="0" algn="ctr" defTabSz="266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600" kern="1200"/>
            <a:t>Safety</a:t>
          </a:r>
        </a:p>
      </dsp:txBody>
      <dsp:txXfrm rot="-20700000">
        <a:off x="503958" y="142901"/>
        <a:ext cx="241832" cy="241832"/>
      </dsp:txXfrm>
    </dsp:sp>
    <dsp:sp modelId="{B37849E0-CEA8-488F-91B6-DCD6996B663B}">
      <dsp:nvSpPr>
        <dsp:cNvPr id="0" name=""/>
        <dsp:cNvSpPr/>
      </dsp:nvSpPr>
      <dsp:spPr>
        <a:xfrm>
          <a:off x="440673" y="417814"/>
          <a:ext cx="773864" cy="773864"/>
        </a:xfrm>
        <a:prstGeom prst="circularArrow">
          <a:avLst>
            <a:gd name="adj1" fmla="val 4687"/>
            <a:gd name="adj2" fmla="val 299029"/>
            <a:gd name="adj3" fmla="val 2314180"/>
            <a:gd name="adj4" fmla="val 16399269"/>
            <a:gd name="adj5" fmla="val 5469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F866955C-FDD6-4476-A602-38378FC1FF65}">
      <dsp:nvSpPr>
        <dsp:cNvPr id="0" name=""/>
        <dsp:cNvSpPr/>
      </dsp:nvSpPr>
      <dsp:spPr>
        <a:xfrm>
          <a:off x="85324" y="267751"/>
          <a:ext cx="562261" cy="562261"/>
        </a:xfrm>
        <a:prstGeom prst="leftCircularArrow">
          <a:avLst>
            <a:gd name="adj1" fmla="val 6452"/>
            <a:gd name="adj2" fmla="val 429999"/>
            <a:gd name="adj3" fmla="val 10489124"/>
            <a:gd name="adj4" fmla="val 14837806"/>
            <a:gd name="adj5" fmla="val 7527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47172D9C-3CDF-4F63-B3B0-178F68183869}">
      <dsp:nvSpPr>
        <dsp:cNvPr id="0" name=""/>
        <dsp:cNvSpPr/>
      </dsp:nvSpPr>
      <dsp:spPr>
        <a:xfrm>
          <a:off x="309816" y="-32670"/>
          <a:ext cx="606230" cy="606230"/>
        </a:xfrm>
        <a:prstGeom prst="circularArrow">
          <a:avLst>
            <a:gd name="adj1" fmla="val 5984"/>
            <a:gd name="adj2" fmla="val 394124"/>
            <a:gd name="adj3" fmla="val 13313824"/>
            <a:gd name="adj4" fmla="val 10508221"/>
            <a:gd name="adj5" fmla="val 6981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3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4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layout5.xml><?xml version="1.0" encoding="utf-8"?>
<dgm:layoutDef xmlns:dgm="http://schemas.openxmlformats.org/drawingml/2006/diagram" xmlns:a="http://schemas.openxmlformats.org/drawingml/2006/main" uniqueId="urn:microsoft.com/office/officeart/2005/8/layout/gear1">
  <dgm:title val=""/>
  <dgm:desc val=""/>
  <dgm:catLst>
    <dgm:cat type="relationship" pri="3000"/>
    <dgm:cat type="process" pri="28000"/>
    <dgm:cat type="cycle" pri="14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 useDef="1">
    <dgm:dataModel>
      <dgm:ptLst/>
      <dgm:bg/>
      <dgm:whole/>
    </dgm:dataModel>
  </dgm:clrData>
  <dgm:layoutNode name="composite">
    <dgm:varLst>
      <dgm:chMax val="3"/>
      <dgm:animLvl val="lvl"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axis="ch" ptType="node" func="cnt" op="lte" val="1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05"/>
          <dgm:constr type="t" for="ch" forName="gear1" refType="w" fact="0.05"/>
          <dgm:constr type="w" for="ch" forName="gear1srcNode" val="1"/>
          <dgm:constr type="h" for="ch" forName="gear1srcNode" val="1"/>
          <dgm:constr type="l" for="ch" forName="gear1srcNode" refType="w" fact="0.32"/>
          <dgm:constr type="t" for="ch" forName="gear1srcNode"/>
          <dgm:constr type="w" for="ch" forName="gear1dstNode" val="1"/>
          <dgm:constr type="h" for="ch" forName="gear1dstNode" val="1"/>
          <dgm:constr type="r" for="ch" forName="gear1dstNode" refType="w" fact="0.58"/>
          <dgm:constr type="t" for="ch" forName="gear1dstNode" refType="h" fact="0.5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/>
          <dgm:constr type="b" for="ch" forName="gear1ch" refType="h" fact="0.6"/>
        </dgm:constrLst>
      </dgm:if>
      <dgm:if name="Name2" axis="ch" ptType="node" func="cnt" op="equ" val="2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2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2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75"/>
          <dgm:constr type="diam" for="des" forName="connector1" refType="w" refFor="ch" refForName="gear1" op="equ" fact="1.1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w" fact="0.8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1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0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3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 refType="w" fact="0.34"/>
          <dgm:constr type="t" for="ch" forName="gear2ch" refType="w" fact="0.04"/>
        </dgm:constrLst>
      </dgm:if>
      <dgm:else name="Name3">
        <dgm:constrLst>
          <dgm:constr type="primFontSz" for="ch" ptType="node" op="equ" val="65"/>
          <dgm:constr type="w" for="ch" forName="gear1" refType="w" fact="0.55"/>
          <dgm:constr type="h" for="ch" forName="gear1" refType="w" fact="0.55"/>
          <dgm:constr type="l" for="ch" forName="gear1" refType="w" fact="0.45"/>
          <dgm:constr type="t" for="ch" forName="gear1" refType="w" fact="0.45"/>
          <dgm:constr type="w" for="ch" forName="gear1srcNode" val="1"/>
          <dgm:constr type="h" for="ch" forName="gear1srcNode" val="1"/>
          <dgm:constr type="l" for="ch" forName="gear1srcNode" refType="w" fact="0.72"/>
          <dgm:constr type="t" for="ch" forName="gear1srcNode" refType="w" fact="0.4"/>
          <dgm:constr type="w" for="ch" forName="gear1dstNode" val="1"/>
          <dgm:constr type="h" for="ch" forName="gear1dstNode" val="1"/>
          <dgm:constr type="r" for="ch" forName="gear1dstNode" refType="w" fact="0.98"/>
          <dgm:constr type="t" for="ch" forName="gear1dstNode" refType="h" fact="0.95"/>
          <dgm:constr type="diam" for="des" forName="connector1" refType="w" refFor="ch" refForName="gear1" op="equ" fact="1.15"/>
          <dgm:constr type="h" for="des" forName="connector1" refType="w" refFor="ch" refForName="gear1" op="equ" fact="0.1"/>
          <dgm:constr type="w" for="ch" forName="gear1ch" refType="w" fact="0.35"/>
          <dgm:constr type="h" for="ch" forName="gear1ch" refType="w" refFor="ch" refForName="gear1ch" fact="0.6"/>
          <dgm:constr type="l" for="ch" forName="gear1ch" refType="w" fact="0.38"/>
          <dgm:constr type="b" for="ch" forName="gear1ch" refType="h"/>
          <dgm:constr type="w" for="ch" forName="gear2" refType="w" fact="0.4"/>
          <dgm:constr type="h" for="ch" forName="gear2" refType="w" fact="0.4"/>
          <dgm:constr type="l" for="ch" forName="gear2" refType="w" fact="0.13"/>
          <dgm:constr type="t" for="ch" forName="gear2" refType="w" fact="0.32"/>
          <dgm:constr type="w" for="ch" forName="gear2srcNode" val="1"/>
          <dgm:constr type="h" for="ch" forName="gear2srcNode" val="1"/>
          <dgm:constr type="l" for="ch" forName="gear2srcNode" refType="w" fact="0.23"/>
          <dgm:constr type="t" for="ch" forName="gear2srcNode" refType="w" fact="0.28"/>
          <dgm:constr type="w" for="ch" forName="gear2dstNode" val="1"/>
          <dgm:constr type="h" for="ch" forName="gear2dstNode" val="1"/>
          <dgm:constr type="l" for="ch" forName="gear2dstNode" refType="w" fact="0.1"/>
          <dgm:constr type="t" for="ch" forName="gear2dstNode" refType="h" fact="0.53"/>
          <dgm:constr type="diam" for="des" forName="connector2" refType="w" refFor="ch" refForName="gear2" op="equ" fact="-1.1"/>
          <dgm:constr type="h" for="des" forName="connector2" refType="w" refFor="ch" refForName="gear1" op="equ" fact="0.1"/>
          <dgm:constr type="w" for="ch" forName="gear2ch" refType="w" fact="0.35"/>
          <dgm:constr type="h" for="ch" forName="gear2ch" refType="w" refFor="ch" refForName="gear2ch" fact="0.6"/>
          <dgm:constr type="l" for="ch" forName="gear2ch"/>
          <dgm:constr type="t" for="ch" forName="gear2ch" refType="w" fact="0.58"/>
          <dgm:constr type="w" for="ch" forName="gear3" refType="w" fact="0.48"/>
          <dgm:constr type="h" for="ch" forName="gear3" refType="w" fact="0.48"/>
          <dgm:constr type="l" for="ch" forName="gear3" refType="w" fact="0.31"/>
          <dgm:constr type="t" for="ch" forName="gear3"/>
          <dgm:constr type="w" for="ch" forName="gear3tx" refType="w" fact="0.22"/>
          <dgm:constr type="h" for="ch" forName="gear3tx" refType="w" fact="0.22"/>
          <dgm:constr type="ctrX" for="ch" forName="gear3tx" refType="ctrX" refFor="ch" refForName="gear3"/>
          <dgm:constr type="ctrY" for="ch" forName="gear3tx" refType="ctrY" refFor="ch" refForName="gear3"/>
          <dgm:constr type="w" for="ch" forName="gear3srcNode" val="1"/>
          <dgm:constr type="h" for="ch" forName="gear3srcNode" val="1"/>
          <dgm:constr type="l" for="ch" forName="gear3srcNode" refType="w" fact="0.3"/>
          <dgm:constr type="t" for="ch" forName="gear3srcNode" refType="w" fact="0.25"/>
          <dgm:constr type="w" for="ch" forName="gear3dstNode" val="1"/>
          <dgm:constr type="h" for="ch" forName="gear3dstNode" val="1"/>
          <dgm:constr type="l" for="ch" forName="gear3dstNode" refType="w" fact="0.38"/>
          <dgm:constr type="t" for="ch" forName="gear3dstNode" refType="h" fact="0.05"/>
          <dgm:constr type="diam" for="des" forName="connector3" refType="w" refFor="ch" refForName="gear3" op="equ"/>
          <dgm:constr type="h" for="des" forName="connector3" refType="w" refFor="ch" refForName="gear1" op="equ" fact="0.1"/>
          <dgm:constr type="w" for="ch" forName="gear3ch" refType="w" fact="0.35"/>
          <dgm:constr type="h" for="ch" forName="gear3ch" refType="w" refFor="ch" refForName="gear3ch" fact="0.6"/>
          <dgm:constr type="l" for="ch" forName="gear3ch" refType="w" fact="0.65"/>
          <dgm:constr type="t" for="ch" forName="gear3ch" refType="h" fact="0.13"/>
        </dgm:constrLst>
      </dgm:else>
    </dgm:choose>
    <dgm:ruleLst/>
    <dgm:forEach name="Name4" axis="ch" ptType="node" cnt="1">
      <dgm:layoutNode name="gear1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9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1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1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5">
        <dgm:if name="Name6" axis="ch" ptType="node" func="cnt" op="gte" val="1">
          <dgm:layoutNode name="gear1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7"/>
      </dgm:choose>
    </dgm:forEach>
    <dgm:forEach name="Name8" axis="ch" ptType="node" st="2" cnt="1">
      <dgm:layoutNode name="gear2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gear6" r:blip="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2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2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9">
        <dgm:if name="Name10" axis="ch" ptType="node" func="cnt" op="gte" val="1">
          <dgm:layoutNode name="gear2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1"/>
      </dgm:choose>
    </dgm:forEach>
    <dgm:forEach name="Name12" axis="ch" ptType="node" st="3" cnt="1">
      <dgm:layoutNode name="gear3" styleLbl="node1">
        <dgm:alg type="sp"/>
        <dgm:shape xmlns:r="http://schemas.openxmlformats.org/officeDocument/2006/relationships" rot="-15" type="gear6" r:blip="">
          <dgm:adjLst/>
        </dgm:shape>
        <dgm:presOf axis="self"/>
        <dgm:constrLst/>
        <dgm:ruleLst/>
      </dgm:layoutNode>
      <dgm:layoutNode name="gear3tx" styleLbl="node1">
        <dgm:varLst>
          <dgm:chMax val="1"/>
          <dgm:bulletEnabled val="1"/>
        </dgm:varLst>
        <dgm:alg type="tx">
          <dgm:param type="txAnchorVertCh" val="mid"/>
        </dgm:alg>
        <dgm:shape xmlns:r="http://schemas.openxmlformats.org/officeDocument/2006/relationships" type="rect" r:blip="" hideGeom="1">
          <dgm:adjLst/>
        </dgm:shape>
        <dgm:presOf axis="self"/>
        <dgm:constrLst>
          <dgm:constr type="tMarg" refType="primFontSz" fact="0.1"/>
          <dgm:constr type="bMarg" refType="primFontSz" fact="0.1"/>
          <dgm:constr type="lMarg" refType="primFontSz" fact="0.1"/>
          <dgm:constr type="rMarg" refType="primFontSz" fact="0.1"/>
        </dgm:constrLst>
        <dgm:ruleLst>
          <dgm:rule type="primFontSz" val="5" fact="NaN" max="NaN"/>
        </dgm:ruleLst>
      </dgm:layoutNode>
      <dgm:layoutNode name="gear3src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layoutNode name="gear3dstNode">
        <dgm:alg type="sp"/>
        <dgm:shape xmlns:r="http://schemas.openxmlformats.org/officeDocument/2006/relationships" type="rect" r:blip="" hideGeom="1">
          <dgm:adjLst/>
        </dgm:shape>
        <dgm:presOf axis="self"/>
        <dgm:constrLst/>
        <dgm:ruleLst/>
      </dgm:layoutNode>
      <dgm:choose name="Name13">
        <dgm:if name="Name14" axis="ch" ptType="node" func="cnt" op="gte" val="1">
          <dgm:layoutNode name="gear3ch" styleLbl="fgAcc1">
            <dgm:varLst>
              <dgm:chMax val="0"/>
              <dgm:bulletEnabled val="1"/>
            </dgm:varLst>
            <dgm:alg type="tx">
              <dgm:param type="stBulletLvl" val="1"/>
            </dgm:alg>
            <dgm:shape xmlns:r="http://schemas.openxmlformats.org/officeDocument/2006/relationships" type="roundRect" r:blip="">
              <dgm:adjLst>
                <dgm:adj idx="1" val="0.1"/>
              </dgm:adjLst>
            </dgm:shape>
            <dgm:presOf axis="des" ptType="node"/>
            <dgm:constrLst>
              <dgm:constr type="tMarg" refType="primFontSz" fact="0.3"/>
              <dgm:constr type="bMarg" refType="primFontSz" fact="0.3"/>
              <dgm:constr type="lMarg" refType="primFontSz" fact="0.3"/>
              <dgm:constr type="rMarg" refType="primFontSz" fact="0.3"/>
            </dgm:constrLst>
            <dgm:ruleLst>
              <dgm:rule type="primFontSz" val="5" fact="NaN" max="NaN"/>
            </dgm:ruleLst>
          </dgm:layoutNode>
        </dgm:if>
        <dgm:else name="Name15"/>
      </dgm:choose>
    </dgm:forEach>
    <dgm:forEach name="Name16" axis="ch" ptType="sibTrans" hideLastTrans="0" cnt="1">
      <dgm:layoutNode name="connector1" styleLbl="sibTrans2D1">
        <dgm:alg type="conn">
          <dgm:param type="connRout" val="curve"/>
          <dgm:param type="srcNode" val="gear1srcNode"/>
          <dgm:param type="dstNode" val="gear1dstNode"/>
          <dgm:param type="begPts" val="midR"/>
          <dgm:param type="endPts" val="tCtr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7" axis="ch" ptType="sibTrans" hideLastTrans="0" st="2" cnt="1">
      <dgm:layoutNode name="connector2" styleLbl="sibTrans2D1">
        <dgm:alg type="conn">
          <dgm:param type="connRout" val="curve"/>
          <dgm:param type="srcNode" val="gear2srcNode"/>
          <dgm:param type="dstNode" val="gear2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  <dgm:forEach name="Name18" axis="ch" ptType="sibTrans" hideLastTrans="0" st="3" cnt="1">
      <dgm:layoutNode name="connector3" styleLbl="sibTrans2D1">
        <dgm:alg type="conn">
          <dgm:param type="connRout" val="curve"/>
          <dgm:param type="srcNode" val="gear3srcNode"/>
          <dgm:param type="dstNode" val="gear3dstNode"/>
          <dgm:param type="begPts" val="midL"/>
          <dgm:param type="endPts" val="midL"/>
        </dgm:alg>
        <dgm:shape xmlns:r="http://schemas.openxmlformats.org/officeDocument/2006/relationships" type="conn" r:blip="">
          <dgm:adjLst/>
        </dgm:shape>
        <dgm:presOf axis="self"/>
        <dgm:constrLst>
          <dgm:constr type="w" val="10"/>
          <dgm:constr type="h" val="10"/>
          <dgm:constr type="begPad"/>
          <dgm:constr type="endPad"/>
        </dgm:constrLst>
        <dgm:ruleLst/>
      </dgm:layoutNode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3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4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5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Layout" Target="../diagrams/layout1.xml"/><Relationship Id="rId2" Type="http://schemas.openxmlformats.org/officeDocument/2006/relationships/diagramData" Target="../diagrams/data1.xml"/><Relationship Id="rId1" Type="http://schemas.openxmlformats.org/officeDocument/2006/relationships/image" Target="../media/image1.png"/><Relationship Id="rId6" Type="http://schemas.microsoft.com/office/2007/relationships/diagramDrawing" Target="../diagrams/drawing1.xml"/><Relationship Id="rId5" Type="http://schemas.openxmlformats.org/officeDocument/2006/relationships/diagramColors" Target="../diagrams/colors1.xml"/><Relationship Id="rId4" Type="http://schemas.openxmlformats.org/officeDocument/2006/relationships/diagramQuickStyle" Target="../diagrams/quickStyle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diagramLayout" Target="../diagrams/layout2.xml"/><Relationship Id="rId2" Type="http://schemas.openxmlformats.org/officeDocument/2006/relationships/diagramData" Target="../diagrams/data2.xml"/><Relationship Id="rId1" Type="http://schemas.openxmlformats.org/officeDocument/2006/relationships/image" Target="../media/image1.png"/><Relationship Id="rId6" Type="http://schemas.microsoft.com/office/2007/relationships/diagramDrawing" Target="../diagrams/drawing2.xml"/><Relationship Id="rId5" Type="http://schemas.openxmlformats.org/officeDocument/2006/relationships/diagramColors" Target="../diagrams/colors2.xml"/><Relationship Id="rId4" Type="http://schemas.openxmlformats.org/officeDocument/2006/relationships/diagramQuickStyle" Target="../diagrams/quickStyle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Layout" Target="../diagrams/layout3.xml"/><Relationship Id="rId2" Type="http://schemas.openxmlformats.org/officeDocument/2006/relationships/diagramData" Target="../diagrams/data3.xml"/><Relationship Id="rId1" Type="http://schemas.openxmlformats.org/officeDocument/2006/relationships/image" Target="../media/image1.png"/><Relationship Id="rId6" Type="http://schemas.microsoft.com/office/2007/relationships/diagramDrawing" Target="../diagrams/drawing3.xml"/><Relationship Id="rId5" Type="http://schemas.openxmlformats.org/officeDocument/2006/relationships/diagramColors" Target="../diagrams/colors3.xml"/><Relationship Id="rId4" Type="http://schemas.openxmlformats.org/officeDocument/2006/relationships/diagramQuickStyle" Target="../diagrams/quickStyle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diagramLayout" Target="../diagrams/layout4.xml"/><Relationship Id="rId2" Type="http://schemas.openxmlformats.org/officeDocument/2006/relationships/diagramData" Target="../diagrams/data4.xml"/><Relationship Id="rId1" Type="http://schemas.openxmlformats.org/officeDocument/2006/relationships/image" Target="../media/image1.png"/><Relationship Id="rId6" Type="http://schemas.microsoft.com/office/2007/relationships/diagramDrawing" Target="../diagrams/drawing4.xml"/><Relationship Id="rId5" Type="http://schemas.openxmlformats.org/officeDocument/2006/relationships/diagramColors" Target="../diagrams/colors4.xml"/><Relationship Id="rId4" Type="http://schemas.openxmlformats.org/officeDocument/2006/relationships/diagramQuickStyle" Target="../diagrams/quickStyle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diagramLayout" Target="../diagrams/layout5.xml"/><Relationship Id="rId2" Type="http://schemas.openxmlformats.org/officeDocument/2006/relationships/diagramData" Target="../diagrams/data5.xml"/><Relationship Id="rId1" Type="http://schemas.openxmlformats.org/officeDocument/2006/relationships/image" Target="../media/image1.png"/><Relationship Id="rId6" Type="http://schemas.microsoft.com/office/2007/relationships/diagramDrawing" Target="../diagrams/drawing5.xml"/><Relationship Id="rId5" Type="http://schemas.openxmlformats.org/officeDocument/2006/relationships/diagramColors" Target="../diagrams/colors5.xml"/><Relationship Id="rId4" Type="http://schemas.openxmlformats.org/officeDocument/2006/relationships/diagramQuickStyle" Target="../diagrams/quickStyle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314325</xdr:colOff>
      <xdr:row>3</xdr:row>
      <xdr:rowOff>111125</xdr:rowOff>
    </xdr:from>
    <xdr:to>
      <xdr:col>10</xdr:col>
      <xdr:colOff>147382</xdr:colOff>
      <xdr:row>5</xdr:row>
      <xdr:rowOff>9001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851775" y="879475"/>
          <a:ext cx="614106" cy="431276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10</xdr:col>
      <xdr:colOff>511175</xdr:colOff>
      <xdr:row>3</xdr:row>
      <xdr:rowOff>15875</xdr:rowOff>
    </xdr:from>
    <xdr:to>
      <xdr:col>12</xdr:col>
      <xdr:colOff>3175</xdr:colOff>
      <xdr:row>7</xdr:row>
      <xdr:rowOff>162615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314325</xdr:colOff>
      <xdr:row>3</xdr:row>
      <xdr:rowOff>111125</xdr:rowOff>
    </xdr:from>
    <xdr:to>
      <xdr:col>13</xdr:col>
      <xdr:colOff>147382</xdr:colOff>
      <xdr:row>5</xdr:row>
      <xdr:rowOff>9001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851775" y="879475"/>
          <a:ext cx="614106" cy="431276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13</xdr:col>
      <xdr:colOff>511175</xdr:colOff>
      <xdr:row>3</xdr:row>
      <xdr:rowOff>15875</xdr:rowOff>
    </xdr:from>
    <xdr:to>
      <xdr:col>15</xdr:col>
      <xdr:colOff>3175</xdr:colOff>
      <xdr:row>7</xdr:row>
      <xdr:rowOff>162615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314325</xdr:colOff>
      <xdr:row>3</xdr:row>
      <xdr:rowOff>111125</xdr:rowOff>
    </xdr:from>
    <xdr:to>
      <xdr:col>10</xdr:col>
      <xdr:colOff>147381</xdr:colOff>
      <xdr:row>5</xdr:row>
      <xdr:rowOff>9001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851775" y="879475"/>
          <a:ext cx="614106" cy="431276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10</xdr:col>
      <xdr:colOff>511175</xdr:colOff>
      <xdr:row>3</xdr:row>
      <xdr:rowOff>15875</xdr:rowOff>
    </xdr:from>
    <xdr:to>
      <xdr:col>12</xdr:col>
      <xdr:colOff>3175</xdr:colOff>
      <xdr:row>7</xdr:row>
      <xdr:rowOff>162615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314325</xdr:colOff>
      <xdr:row>3</xdr:row>
      <xdr:rowOff>111125</xdr:rowOff>
    </xdr:from>
    <xdr:to>
      <xdr:col>10</xdr:col>
      <xdr:colOff>147381</xdr:colOff>
      <xdr:row>5</xdr:row>
      <xdr:rowOff>9001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851775" y="879475"/>
          <a:ext cx="614106" cy="431276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10</xdr:col>
      <xdr:colOff>511175</xdr:colOff>
      <xdr:row>3</xdr:row>
      <xdr:rowOff>15875</xdr:rowOff>
    </xdr:from>
    <xdr:to>
      <xdr:col>12</xdr:col>
      <xdr:colOff>3175</xdr:colOff>
      <xdr:row>7</xdr:row>
      <xdr:rowOff>162615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314325</xdr:colOff>
      <xdr:row>3</xdr:row>
      <xdr:rowOff>111125</xdr:rowOff>
    </xdr:from>
    <xdr:to>
      <xdr:col>10</xdr:col>
      <xdr:colOff>147381</xdr:colOff>
      <xdr:row>5</xdr:row>
      <xdr:rowOff>9001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851775" y="879475"/>
          <a:ext cx="614106" cy="431276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10</xdr:col>
      <xdr:colOff>511175</xdr:colOff>
      <xdr:row>3</xdr:row>
      <xdr:rowOff>15875</xdr:rowOff>
    </xdr:from>
    <xdr:to>
      <xdr:col>12</xdr:col>
      <xdr:colOff>3175</xdr:colOff>
      <xdr:row>7</xdr:row>
      <xdr:rowOff>162615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W20"/>
  <sheetViews>
    <sheetView zoomScale="90" zoomScaleNormal="90" workbookViewId="0">
      <selection activeCell="L7" sqref="L7:O9"/>
    </sheetView>
  </sheetViews>
  <sheetFormatPr defaultRowHeight="12.75" x14ac:dyDescent="0.2"/>
  <cols>
    <col min="1" max="1" width="3.140625" style="245" customWidth="1"/>
    <col min="2" max="2" width="13.28515625" style="245" customWidth="1"/>
    <col min="3" max="3" width="12.5703125" style="245" customWidth="1"/>
    <col min="4" max="4" width="11.5703125" style="245" customWidth="1"/>
    <col min="5" max="5" width="10.42578125" style="245" customWidth="1"/>
    <col min="6" max="6" width="11.42578125" style="245" customWidth="1"/>
    <col min="7" max="7" width="9.140625" style="245"/>
    <col min="8" max="8" width="11.7109375" style="245" customWidth="1"/>
    <col min="9" max="9" width="9.140625" style="245"/>
    <col min="10" max="10" width="11" style="245" customWidth="1"/>
    <col min="11" max="16384" width="9.140625" style="245"/>
  </cols>
  <sheetData>
    <row r="1" spans="2:23" ht="23.25" customHeight="1" thickBot="1" x14ac:dyDescent="0.25">
      <c r="B1" s="372" t="s">
        <v>118</v>
      </c>
      <c r="C1" s="373"/>
      <c r="D1" s="373"/>
      <c r="E1" s="373"/>
      <c r="F1" s="373"/>
      <c r="G1" s="373"/>
    </row>
    <row r="2" spans="2:23" s="246" customFormat="1" ht="16.5" thickBot="1" x14ac:dyDescent="0.3">
      <c r="B2" s="342" t="s">
        <v>120</v>
      </c>
      <c r="C2" s="343"/>
      <c r="D2" s="343"/>
      <c r="E2" s="343"/>
      <c r="F2" s="344"/>
      <c r="G2" s="400"/>
      <c r="H2" s="342" t="s">
        <v>143</v>
      </c>
      <c r="I2" s="343"/>
      <c r="J2" s="343"/>
      <c r="K2" s="343"/>
      <c r="L2" s="344"/>
      <c r="M2" s="344"/>
      <c r="N2" s="345"/>
      <c r="O2" s="346"/>
      <c r="P2" s="285" t="s">
        <v>148</v>
      </c>
      <c r="Q2" s="286"/>
      <c r="R2" s="286"/>
      <c r="S2" s="286"/>
      <c r="T2" s="286"/>
      <c r="U2" s="286"/>
      <c r="V2" s="286"/>
      <c r="W2" s="287"/>
    </row>
    <row r="3" spans="2:23" ht="41.25" customHeight="1" thickBot="1" x14ac:dyDescent="0.25">
      <c r="B3" s="247" t="s">
        <v>117</v>
      </c>
      <c r="C3" s="248">
        <f>'0830'!L19</f>
        <v>2</v>
      </c>
      <c r="D3" s="249" t="s">
        <v>17</v>
      </c>
      <c r="E3" s="250">
        <f>'0830'!O19</f>
        <v>3</v>
      </c>
      <c r="F3" s="251"/>
      <c r="G3" s="252"/>
      <c r="H3" s="347" t="s">
        <v>144</v>
      </c>
      <c r="I3" s="348"/>
      <c r="J3" s="348"/>
      <c r="K3" s="348"/>
      <c r="L3" s="329" t="s">
        <v>168</v>
      </c>
      <c r="M3" s="330"/>
      <c r="N3" s="330"/>
      <c r="O3" s="351"/>
      <c r="P3" s="288"/>
      <c r="Q3" s="289"/>
      <c r="R3" s="289"/>
      <c r="S3" s="289"/>
      <c r="T3" s="289"/>
      <c r="U3" s="289"/>
      <c r="V3" s="289"/>
      <c r="W3" s="290"/>
    </row>
    <row r="4" spans="2:23" ht="16.5" thickBot="1" x14ac:dyDescent="0.25">
      <c r="B4" s="354" t="s">
        <v>119</v>
      </c>
      <c r="C4" s="381"/>
      <c r="D4" s="381"/>
      <c r="E4" s="381"/>
      <c r="F4" s="381"/>
      <c r="G4" s="382"/>
      <c r="H4" s="349"/>
      <c r="I4" s="350"/>
      <c r="J4" s="350"/>
      <c r="K4" s="350"/>
      <c r="L4" s="315"/>
      <c r="M4" s="331"/>
      <c r="N4" s="331"/>
      <c r="O4" s="317"/>
      <c r="P4" s="291" t="s">
        <v>147</v>
      </c>
      <c r="Q4" s="292"/>
      <c r="R4" s="292"/>
      <c r="S4" s="292"/>
      <c r="T4" s="312" t="s">
        <v>169</v>
      </c>
      <c r="U4" s="313"/>
      <c r="V4" s="313"/>
      <c r="W4" s="314"/>
    </row>
    <row r="5" spans="2:23" ht="38.25" customHeight="1" x14ac:dyDescent="0.2">
      <c r="B5" s="253" t="s">
        <v>121</v>
      </c>
      <c r="C5" s="254">
        <v>10</v>
      </c>
      <c r="D5" s="255" t="s">
        <v>123</v>
      </c>
      <c r="E5" s="254">
        <v>2</v>
      </c>
      <c r="F5" s="255" t="s">
        <v>125</v>
      </c>
      <c r="G5" s="256">
        <v>1</v>
      </c>
      <c r="H5" s="349"/>
      <c r="I5" s="350"/>
      <c r="J5" s="350"/>
      <c r="K5" s="350"/>
      <c r="L5" s="318"/>
      <c r="M5" s="319"/>
      <c r="N5" s="319"/>
      <c r="O5" s="320"/>
      <c r="P5" s="293"/>
      <c r="Q5" s="294"/>
      <c r="R5" s="294"/>
      <c r="S5" s="294"/>
      <c r="T5" s="336"/>
      <c r="U5" s="337"/>
      <c r="V5" s="337"/>
      <c r="W5" s="338"/>
    </row>
    <row r="6" spans="2:23" ht="39" customHeight="1" thickBot="1" x14ac:dyDescent="0.25">
      <c r="B6" s="257" t="s">
        <v>122</v>
      </c>
      <c r="C6" s="258">
        <v>1</v>
      </c>
      <c r="D6" s="259" t="s">
        <v>124</v>
      </c>
      <c r="E6" s="258">
        <v>1</v>
      </c>
      <c r="F6" s="259" t="s">
        <v>126</v>
      </c>
      <c r="G6" s="260">
        <v>1</v>
      </c>
      <c r="H6" s="352" t="s">
        <v>154</v>
      </c>
      <c r="I6" s="353"/>
      <c r="J6" s="353"/>
      <c r="K6" s="353"/>
      <c r="L6" s="362" t="s">
        <v>176</v>
      </c>
      <c r="M6" s="362"/>
      <c r="N6" s="362"/>
      <c r="O6" s="363"/>
      <c r="P6" s="304" t="s">
        <v>146</v>
      </c>
      <c r="Q6" s="305"/>
      <c r="R6" s="305"/>
      <c r="S6" s="306"/>
      <c r="T6" s="298" t="s">
        <v>171</v>
      </c>
      <c r="U6" s="299"/>
      <c r="V6" s="299"/>
      <c r="W6" s="300"/>
    </row>
    <row r="7" spans="2:23" ht="15.75" thickBot="1" x14ac:dyDescent="0.25">
      <c r="B7" s="391" t="s">
        <v>127</v>
      </c>
      <c r="C7" s="392"/>
      <c r="D7" s="392"/>
      <c r="E7" s="393"/>
      <c r="F7" s="393"/>
      <c r="G7" s="394"/>
      <c r="H7" s="352" t="s">
        <v>155</v>
      </c>
      <c r="I7" s="364"/>
      <c r="J7" s="364"/>
      <c r="K7" s="364"/>
      <c r="L7" s="368" t="s">
        <v>176</v>
      </c>
      <c r="M7" s="368"/>
      <c r="N7" s="368"/>
      <c r="O7" s="369"/>
      <c r="P7" s="291" t="s">
        <v>149</v>
      </c>
      <c r="Q7" s="307"/>
      <c r="R7" s="307"/>
      <c r="S7" s="308"/>
      <c r="T7" s="312" t="s">
        <v>178</v>
      </c>
      <c r="U7" s="313"/>
      <c r="V7" s="313"/>
      <c r="W7" s="314"/>
    </row>
    <row r="8" spans="2:23" ht="16.5" customHeight="1" x14ac:dyDescent="0.2">
      <c r="B8" s="395" t="s">
        <v>128</v>
      </c>
      <c r="C8" s="396"/>
      <c r="D8" s="397" t="s">
        <v>164</v>
      </c>
      <c r="E8" s="398"/>
      <c r="F8" s="398"/>
      <c r="G8" s="399"/>
      <c r="H8" s="365"/>
      <c r="I8" s="364"/>
      <c r="J8" s="364"/>
      <c r="K8" s="364"/>
      <c r="L8" s="368"/>
      <c r="M8" s="368"/>
      <c r="N8" s="368"/>
      <c r="O8" s="369"/>
      <c r="P8" s="309"/>
      <c r="Q8" s="310"/>
      <c r="R8" s="310"/>
      <c r="S8" s="303"/>
      <c r="T8" s="315"/>
      <c r="U8" s="316"/>
      <c r="V8" s="316"/>
      <c r="W8" s="317"/>
    </row>
    <row r="9" spans="2:23" ht="18" customHeight="1" thickBot="1" x14ac:dyDescent="0.25">
      <c r="B9" s="389" t="s">
        <v>129</v>
      </c>
      <c r="C9" s="390"/>
      <c r="D9" s="386" t="s">
        <v>163</v>
      </c>
      <c r="E9" s="387"/>
      <c r="F9" s="387"/>
      <c r="G9" s="388"/>
      <c r="H9" s="365"/>
      <c r="I9" s="364"/>
      <c r="J9" s="364"/>
      <c r="K9" s="364"/>
      <c r="L9" s="368"/>
      <c r="M9" s="368"/>
      <c r="N9" s="368"/>
      <c r="O9" s="369"/>
      <c r="P9" s="311"/>
      <c r="Q9" s="296"/>
      <c r="R9" s="296"/>
      <c r="S9" s="297"/>
      <c r="T9" s="318"/>
      <c r="U9" s="319"/>
      <c r="V9" s="319"/>
      <c r="W9" s="320"/>
    </row>
    <row r="10" spans="2:23" ht="51.75" customHeight="1" thickBot="1" x14ac:dyDescent="0.25">
      <c r="B10" s="253" t="s">
        <v>112</v>
      </c>
      <c r="C10" s="261">
        <f>'0830'!M47</f>
        <v>0.64864864864864868</v>
      </c>
      <c r="D10" s="255" t="s">
        <v>111</v>
      </c>
      <c r="E10" s="261">
        <f>'0830'!I47</f>
        <v>0.27272727272727271</v>
      </c>
      <c r="F10" s="255" t="s">
        <v>132</v>
      </c>
      <c r="G10" s="262">
        <f>'0830'!G47</f>
        <v>0.67032967032967028</v>
      </c>
      <c r="H10" s="366" t="s">
        <v>156</v>
      </c>
      <c r="I10" s="367"/>
      <c r="J10" s="367"/>
      <c r="K10" s="367"/>
      <c r="L10" s="370" t="s">
        <v>177</v>
      </c>
      <c r="M10" s="370"/>
      <c r="N10" s="370"/>
      <c r="O10" s="371"/>
      <c r="P10" s="295" t="s">
        <v>150</v>
      </c>
      <c r="Q10" s="296"/>
      <c r="R10" s="296"/>
      <c r="S10" s="297"/>
      <c r="T10" s="298" t="s">
        <v>169</v>
      </c>
      <c r="U10" s="299"/>
      <c r="V10" s="299"/>
      <c r="W10" s="300"/>
    </row>
    <row r="11" spans="2:23" ht="51.75" thickBot="1" x14ac:dyDescent="0.25">
      <c r="B11" s="257" t="s">
        <v>130</v>
      </c>
      <c r="C11" s="263">
        <f>'0830'!E48</f>
        <v>48</v>
      </c>
      <c r="D11" s="264" t="s">
        <v>113</v>
      </c>
      <c r="E11" s="263">
        <f>'0830'!G48</f>
        <v>110</v>
      </c>
      <c r="F11" s="264" t="s">
        <v>131</v>
      </c>
      <c r="G11" s="265">
        <f>'0830'!I48</f>
        <v>0.69620253164556967</v>
      </c>
      <c r="H11" s="277" t="s">
        <v>145</v>
      </c>
      <c r="I11" s="278"/>
      <c r="J11" s="278"/>
      <c r="K11" s="279"/>
      <c r="L11" s="280" t="s">
        <v>176</v>
      </c>
      <c r="M11" s="280"/>
      <c r="N11" s="280"/>
      <c r="O11" s="281"/>
      <c r="P11" s="301" t="s">
        <v>151</v>
      </c>
      <c r="Q11" s="302"/>
      <c r="R11" s="302"/>
      <c r="S11" s="303"/>
      <c r="T11" s="312" t="s">
        <v>170</v>
      </c>
      <c r="U11" s="313"/>
      <c r="V11" s="313"/>
      <c r="W11" s="314"/>
    </row>
    <row r="12" spans="2:23" ht="15.75" customHeight="1" thickBot="1" x14ac:dyDescent="0.25">
      <c r="B12" s="354" t="s">
        <v>135</v>
      </c>
      <c r="C12" s="355"/>
      <c r="D12" s="355"/>
      <c r="E12" s="355"/>
      <c r="F12" s="355"/>
      <c r="G12" s="356"/>
      <c r="H12" s="277" t="s">
        <v>142</v>
      </c>
      <c r="I12" s="321"/>
      <c r="J12" s="321"/>
      <c r="K12" s="322"/>
      <c r="L12" s="329" t="s">
        <v>176</v>
      </c>
      <c r="M12" s="330"/>
      <c r="N12" s="330"/>
      <c r="O12" s="330"/>
      <c r="P12" s="273" t="s">
        <v>152</v>
      </c>
      <c r="Q12" s="274"/>
      <c r="R12" s="274"/>
      <c r="S12" s="274"/>
      <c r="T12" s="268" t="s">
        <v>179</v>
      </c>
      <c r="U12" s="269"/>
      <c r="V12" s="269"/>
      <c r="W12" s="270"/>
    </row>
    <row r="13" spans="2:23" ht="36" customHeight="1" thickBot="1" x14ac:dyDescent="0.25">
      <c r="B13" s="374" t="s">
        <v>133</v>
      </c>
      <c r="C13" s="375"/>
      <c r="D13" s="383">
        <v>7</v>
      </c>
      <c r="E13" s="384"/>
      <c r="F13" s="384"/>
      <c r="G13" s="385"/>
      <c r="H13" s="323"/>
      <c r="I13" s="324"/>
      <c r="J13" s="324"/>
      <c r="K13" s="325"/>
      <c r="L13" s="315"/>
      <c r="M13" s="316"/>
      <c r="N13" s="316"/>
      <c r="O13" s="331"/>
      <c r="P13" s="275"/>
      <c r="Q13" s="276"/>
      <c r="R13" s="276"/>
      <c r="S13" s="276"/>
      <c r="T13" s="269"/>
      <c r="U13" s="269"/>
      <c r="V13" s="269"/>
      <c r="W13" s="270"/>
    </row>
    <row r="14" spans="2:23" ht="16.5" thickBot="1" x14ac:dyDescent="0.25">
      <c r="B14" s="354" t="s">
        <v>102</v>
      </c>
      <c r="C14" s="381"/>
      <c r="D14" s="381"/>
      <c r="E14" s="381"/>
      <c r="F14" s="381"/>
      <c r="G14" s="382"/>
      <c r="H14" s="323"/>
      <c r="I14" s="324"/>
      <c r="J14" s="324"/>
      <c r="K14" s="325"/>
      <c r="L14" s="315"/>
      <c r="M14" s="316"/>
      <c r="N14" s="316"/>
      <c r="O14" s="331"/>
      <c r="P14" s="273" t="s">
        <v>153</v>
      </c>
      <c r="Q14" s="274"/>
      <c r="R14" s="274"/>
      <c r="S14" s="274"/>
      <c r="T14" s="269" t="s">
        <v>169</v>
      </c>
      <c r="U14" s="269"/>
      <c r="V14" s="269"/>
      <c r="W14" s="270"/>
    </row>
    <row r="15" spans="2:23" ht="28.5" customHeight="1" thickBot="1" x14ac:dyDescent="0.25">
      <c r="B15" s="339" t="s">
        <v>134</v>
      </c>
      <c r="C15" s="379"/>
      <c r="D15" s="379"/>
      <c r="E15" s="379"/>
      <c r="F15" s="379"/>
      <c r="G15" s="380"/>
      <c r="H15" s="326"/>
      <c r="I15" s="327"/>
      <c r="J15" s="327"/>
      <c r="K15" s="328"/>
      <c r="L15" s="332"/>
      <c r="M15" s="333"/>
      <c r="N15" s="333"/>
      <c r="O15" s="333"/>
      <c r="P15" s="334"/>
      <c r="Q15" s="335"/>
      <c r="R15" s="335"/>
      <c r="S15" s="335"/>
      <c r="T15" s="271"/>
      <c r="U15" s="271"/>
      <c r="V15" s="271"/>
      <c r="W15" s="272"/>
    </row>
    <row r="16" spans="2:23" ht="40.5" customHeight="1" thickBot="1" x14ac:dyDescent="0.25">
      <c r="B16" s="374" t="s">
        <v>136</v>
      </c>
      <c r="C16" s="375"/>
      <c r="D16" s="376">
        <f>SUM('0830'!D52:D58)</f>
        <v>34</v>
      </c>
      <c r="E16" s="377"/>
      <c r="F16" s="377"/>
      <c r="G16" s="378"/>
      <c r="H16" s="282"/>
      <c r="I16" s="357"/>
      <c r="J16" s="357"/>
      <c r="K16" s="357"/>
      <c r="L16" s="358"/>
      <c r="M16" s="358"/>
      <c r="N16" s="358"/>
      <c r="O16" s="358"/>
    </row>
    <row r="17" spans="2:15" ht="18.75" customHeight="1" thickBot="1" x14ac:dyDescent="0.25">
      <c r="B17" s="339" t="s">
        <v>137</v>
      </c>
      <c r="C17" s="340"/>
      <c r="D17" s="340"/>
      <c r="E17" s="340"/>
      <c r="F17" s="340"/>
      <c r="G17" s="341"/>
      <c r="H17" s="282"/>
      <c r="I17" s="359"/>
      <c r="J17" s="359"/>
      <c r="K17" s="359"/>
      <c r="L17" s="361"/>
      <c r="M17" s="361"/>
      <c r="N17" s="361"/>
      <c r="O17" s="361"/>
    </row>
    <row r="18" spans="2:15" ht="53.25" customHeight="1" thickBot="1" x14ac:dyDescent="0.25">
      <c r="B18" s="253" t="s">
        <v>139</v>
      </c>
      <c r="C18" s="254">
        <v>5</v>
      </c>
      <c r="D18" s="257" t="s">
        <v>140</v>
      </c>
      <c r="E18" s="254">
        <f>'0830'!D60</f>
        <v>7</v>
      </c>
      <c r="F18" s="255" t="s">
        <v>141</v>
      </c>
      <c r="G18" s="256">
        <f>'0830'!D59</f>
        <v>12</v>
      </c>
      <c r="H18" s="360"/>
      <c r="I18" s="359"/>
      <c r="J18" s="359"/>
      <c r="K18" s="359"/>
      <c r="L18" s="361"/>
      <c r="M18" s="361"/>
      <c r="N18" s="361"/>
      <c r="O18" s="361"/>
    </row>
    <row r="19" spans="2:15" ht="13.5" thickBot="1" x14ac:dyDescent="0.25">
      <c r="B19" s="339" t="s">
        <v>138</v>
      </c>
      <c r="C19" s="340"/>
      <c r="D19" s="340"/>
      <c r="E19" s="340"/>
      <c r="F19" s="340"/>
      <c r="G19" s="341"/>
      <c r="H19" s="360"/>
      <c r="I19" s="359"/>
      <c r="J19" s="359"/>
      <c r="K19" s="359"/>
      <c r="L19" s="359"/>
      <c r="M19" s="359"/>
      <c r="N19" s="359"/>
      <c r="O19" s="359"/>
    </row>
    <row r="20" spans="2:15" ht="64.5" thickBot="1" x14ac:dyDescent="0.25">
      <c r="B20" s="253" t="s">
        <v>139</v>
      </c>
      <c r="C20" s="254">
        <v>2</v>
      </c>
      <c r="D20" s="257" t="s">
        <v>140</v>
      </c>
      <c r="E20" s="254">
        <f>'0830'!D62</f>
        <v>3</v>
      </c>
      <c r="F20" s="255" t="s">
        <v>141</v>
      </c>
      <c r="G20" s="256">
        <f>'0830'!D61</f>
        <v>11</v>
      </c>
      <c r="H20" s="282"/>
      <c r="I20" s="283"/>
      <c r="J20" s="283"/>
      <c r="K20" s="283"/>
      <c r="L20" s="284"/>
      <c r="M20" s="284"/>
      <c r="N20" s="284"/>
      <c r="O20" s="284"/>
    </row>
  </sheetData>
  <mergeCells count="51">
    <mergeCell ref="B1:G1"/>
    <mergeCell ref="B16:C16"/>
    <mergeCell ref="D16:G16"/>
    <mergeCell ref="B17:G17"/>
    <mergeCell ref="B15:G15"/>
    <mergeCell ref="B14:G14"/>
    <mergeCell ref="B13:C13"/>
    <mergeCell ref="D13:G13"/>
    <mergeCell ref="B4:G4"/>
    <mergeCell ref="D9:G9"/>
    <mergeCell ref="B9:C9"/>
    <mergeCell ref="B7:G7"/>
    <mergeCell ref="B8:C8"/>
    <mergeCell ref="D8:G8"/>
    <mergeCell ref="B2:G2"/>
    <mergeCell ref="B19:G19"/>
    <mergeCell ref="H2:O2"/>
    <mergeCell ref="H3:K5"/>
    <mergeCell ref="L3:O5"/>
    <mergeCell ref="H6:K6"/>
    <mergeCell ref="B12:G12"/>
    <mergeCell ref="H16:K16"/>
    <mergeCell ref="L16:O16"/>
    <mergeCell ref="H17:K19"/>
    <mergeCell ref="L17:O19"/>
    <mergeCell ref="L6:O6"/>
    <mergeCell ref="H7:K9"/>
    <mergeCell ref="H10:K10"/>
    <mergeCell ref="L7:O9"/>
    <mergeCell ref="L10:O10"/>
    <mergeCell ref="H20:K20"/>
    <mergeCell ref="L20:O20"/>
    <mergeCell ref="P2:W3"/>
    <mergeCell ref="P4:S5"/>
    <mergeCell ref="P10:S10"/>
    <mergeCell ref="T10:W10"/>
    <mergeCell ref="P11:S11"/>
    <mergeCell ref="P6:S6"/>
    <mergeCell ref="T6:W6"/>
    <mergeCell ref="P7:S9"/>
    <mergeCell ref="T7:W9"/>
    <mergeCell ref="H12:K15"/>
    <mergeCell ref="L12:O15"/>
    <mergeCell ref="P14:S15"/>
    <mergeCell ref="T4:W5"/>
    <mergeCell ref="T11:W11"/>
    <mergeCell ref="T12:W13"/>
    <mergeCell ref="T14:W15"/>
    <mergeCell ref="P12:S13"/>
    <mergeCell ref="H11:K11"/>
    <mergeCell ref="L11:O1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B1:P65"/>
  <sheetViews>
    <sheetView showGridLines="0" topLeftCell="A5" zoomScale="85" zoomScaleNormal="85" workbookViewId="0">
      <selection activeCell="G26" sqref="G26"/>
    </sheetView>
  </sheetViews>
  <sheetFormatPr defaultColWidth="9.140625" defaultRowHeight="12" x14ac:dyDescent="0.2"/>
  <cols>
    <col min="1" max="1" width="1.7109375" style="105" customWidth="1"/>
    <col min="2" max="2" width="14.28515625" style="105" customWidth="1"/>
    <col min="3" max="4" width="10.5703125" style="105" customWidth="1"/>
    <col min="5" max="5" width="10.42578125" style="105" customWidth="1"/>
    <col min="6" max="6" width="10" style="105" customWidth="1"/>
    <col min="7" max="7" width="10.42578125" style="105" customWidth="1"/>
    <col min="8" max="8" width="1.42578125" style="105" customWidth="1"/>
    <col min="9" max="9" width="19.7109375" style="105" customWidth="1"/>
    <col min="10" max="10" width="11.140625" style="105" customWidth="1"/>
    <col min="11" max="11" width="12.42578125" style="105" customWidth="1"/>
    <col min="12" max="12" width="12.28515625" style="105" customWidth="1"/>
    <col min="13" max="13" width="10.85546875" style="105" customWidth="1"/>
    <col min="14" max="14" width="10.5703125" style="105" customWidth="1"/>
    <col min="15" max="16384" width="9.140625" style="105"/>
  </cols>
  <sheetData>
    <row r="1" spans="2:13" ht="12.75" thickBot="1" x14ac:dyDescent="0.25"/>
    <row r="2" spans="2:13" ht="37.5" customHeight="1" thickBot="1" x14ac:dyDescent="0.25">
      <c r="B2" s="403" t="s">
        <v>92</v>
      </c>
      <c r="C2" s="404"/>
      <c r="D2" s="404"/>
      <c r="E2" s="404"/>
      <c r="F2" s="404"/>
      <c r="G2" s="404"/>
      <c r="H2" s="404"/>
      <c r="I2" s="404"/>
      <c r="J2" s="404"/>
      <c r="K2" s="404"/>
      <c r="L2" s="404"/>
      <c r="M2" s="405"/>
    </row>
    <row r="3" spans="2:13" s="102" customFormat="1" ht="11.25" customHeight="1" thickBot="1" x14ac:dyDescent="0.25">
      <c r="B3" s="112"/>
      <c r="C3" s="112"/>
      <c r="D3" s="112"/>
      <c r="E3" s="10"/>
      <c r="F3" s="10"/>
      <c r="G3" s="10"/>
      <c r="H3" s="10"/>
      <c r="I3" s="10"/>
      <c r="J3" s="10"/>
      <c r="K3" s="10"/>
      <c r="L3" s="10"/>
      <c r="M3" s="10"/>
    </row>
    <row r="4" spans="2:13" s="102" customFormat="1" ht="21" customHeight="1" thickBot="1" x14ac:dyDescent="0.25">
      <c r="B4" s="114" t="s">
        <v>21</v>
      </c>
      <c r="C4" s="406" t="s">
        <v>165</v>
      </c>
      <c r="D4" s="407"/>
      <c r="E4" s="113"/>
      <c r="F4" s="114" t="s">
        <v>0</v>
      </c>
      <c r="G4" s="134">
        <v>0.29166666666666669</v>
      </c>
      <c r="H4" s="10"/>
      <c r="I4" s="10"/>
      <c r="J4" s="10"/>
      <c r="K4" s="10"/>
      <c r="L4" s="10"/>
      <c r="M4" s="10"/>
    </row>
    <row r="5" spans="2:13" s="102" customFormat="1" ht="21" customHeight="1" x14ac:dyDescent="0.2"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2:13" ht="12.75" thickBot="1" x14ac:dyDescent="0.25"/>
    <row r="7" spans="2:13" ht="20.25" customHeight="1" x14ac:dyDescent="0.2">
      <c r="B7" s="408" t="s">
        <v>8</v>
      </c>
      <c r="C7" s="409"/>
      <c r="D7" s="409"/>
      <c r="E7" s="165">
        <v>4</v>
      </c>
      <c r="F7" s="102"/>
      <c r="G7" s="156"/>
      <c r="H7" s="410"/>
      <c r="I7" s="410"/>
      <c r="J7" s="410"/>
      <c r="K7" s="9"/>
      <c r="M7" s="105" t="s">
        <v>3</v>
      </c>
    </row>
    <row r="8" spans="2:13" ht="20.25" customHeight="1" x14ac:dyDescent="0.2">
      <c r="B8" s="411" t="s">
        <v>9</v>
      </c>
      <c r="C8" s="412"/>
      <c r="D8" s="413"/>
      <c r="E8" s="166">
        <v>3</v>
      </c>
      <c r="F8" s="13"/>
      <c r="G8" s="156"/>
      <c r="H8" s="410"/>
      <c r="I8" s="410"/>
      <c r="J8" s="410"/>
      <c r="K8" s="9"/>
    </row>
    <row r="9" spans="2:13" ht="20.25" customHeight="1" x14ac:dyDescent="0.2">
      <c r="B9" s="411" t="s">
        <v>10</v>
      </c>
      <c r="C9" s="412"/>
      <c r="D9" s="413"/>
      <c r="E9" s="167">
        <v>5</v>
      </c>
      <c r="F9" s="13"/>
      <c r="G9" s="156"/>
      <c r="H9" s="410"/>
      <c r="I9" s="410"/>
      <c r="J9" s="410"/>
      <c r="K9" s="9"/>
    </row>
    <row r="10" spans="2:13" ht="20.25" customHeight="1" x14ac:dyDescent="0.2">
      <c r="B10" s="414" t="s">
        <v>2</v>
      </c>
      <c r="C10" s="415"/>
      <c r="D10" s="415"/>
      <c r="E10" s="168">
        <v>8</v>
      </c>
      <c r="F10" s="102"/>
      <c r="G10" s="156"/>
      <c r="H10" s="410"/>
      <c r="I10" s="410"/>
      <c r="J10" s="410"/>
      <c r="K10" s="9"/>
      <c r="L10" s="102"/>
      <c r="M10" s="102"/>
    </row>
    <row r="11" spans="2:13" ht="20.25" customHeight="1" x14ac:dyDescent="0.2">
      <c r="B11" s="411" t="s">
        <v>1</v>
      </c>
      <c r="C11" s="412"/>
      <c r="D11" s="413"/>
      <c r="E11" s="169">
        <v>10</v>
      </c>
      <c r="F11" s="102"/>
      <c r="G11" s="156"/>
      <c r="H11" s="410"/>
      <c r="I11" s="410"/>
      <c r="J11" s="410"/>
      <c r="K11" s="9"/>
      <c r="L11" s="102"/>
      <c r="M11" s="102"/>
    </row>
    <row r="12" spans="2:13" ht="20.25" customHeight="1" x14ac:dyDescent="0.2">
      <c r="B12" s="414" t="s">
        <v>4</v>
      </c>
      <c r="C12" s="415"/>
      <c r="D12" s="415"/>
      <c r="E12" s="170">
        <v>12</v>
      </c>
      <c r="F12" s="102"/>
      <c r="G12" s="156"/>
      <c r="H12" s="410"/>
      <c r="I12" s="410"/>
      <c r="J12" s="410"/>
      <c r="K12" s="9"/>
      <c r="L12" s="100" t="s">
        <v>3</v>
      </c>
      <c r="M12" s="100"/>
    </row>
    <row r="13" spans="2:13" ht="20.25" customHeight="1" thickBot="1" x14ac:dyDescent="0.25">
      <c r="B13" s="416" t="s">
        <v>93</v>
      </c>
      <c r="C13" s="417"/>
      <c r="D13" s="418"/>
      <c r="E13" s="171">
        <v>10</v>
      </c>
      <c r="F13" s="4"/>
      <c r="G13" s="156"/>
      <c r="H13" s="410"/>
      <c r="I13" s="410"/>
      <c r="J13" s="410"/>
      <c r="K13" s="9"/>
      <c r="L13" s="100"/>
      <c r="M13" s="100"/>
    </row>
    <row r="14" spans="2:13" ht="12.75" customHeight="1" x14ac:dyDescent="0.2"/>
    <row r="15" spans="2:13" ht="3" customHeight="1" thickBot="1" x14ac:dyDescent="0.25"/>
    <row r="16" spans="2:13" ht="23.25" customHeight="1" thickBot="1" x14ac:dyDescent="0.25">
      <c r="B16" s="419" t="s">
        <v>12</v>
      </c>
      <c r="C16" s="420"/>
      <c r="D16" s="420"/>
      <c r="E16" s="420"/>
      <c r="F16" s="420"/>
      <c r="G16" s="421"/>
      <c r="H16" s="19"/>
      <c r="I16" s="419" t="s">
        <v>19</v>
      </c>
      <c r="J16" s="420"/>
      <c r="K16" s="420"/>
      <c r="L16" s="420"/>
      <c r="M16" s="421"/>
    </row>
    <row r="17" spans="2:16" ht="69.75" customHeight="1" thickBot="1" x14ac:dyDescent="0.25">
      <c r="B17" s="91" t="s">
        <v>5</v>
      </c>
      <c r="C17" s="89" t="s">
        <v>22</v>
      </c>
      <c r="D17" s="135" t="s">
        <v>89</v>
      </c>
      <c r="E17" s="90" t="s">
        <v>85</v>
      </c>
      <c r="F17" s="89" t="s">
        <v>96</v>
      </c>
      <c r="G17" s="90" t="s">
        <v>97</v>
      </c>
      <c r="H17" s="1"/>
      <c r="I17" s="16" t="s">
        <v>15</v>
      </c>
      <c r="J17" s="16" t="s">
        <v>16</v>
      </c>
      <c r="K17" s="16" t="s">
        <v>98</v>
      </c>
      <c r="L17" s="180" t="s">
        <v>17</v>
      </c>
      <c r="M17" s="180" t="s">
        <v>18</v>
      </c>
    </row>
    <row r="18" spans="2:16" ht="13.5" customHeight="1" thickBot="1" x14ac:dyDescent="0.25">
      <c r="B18" s="148" t="s">
        <v>6</v>
      </c>
      <c r="C18" s="143">
        <v>37</v>
      </c>
      <c r="D18" s="140">
        <v>6</v>
      </c>
      <c r="E18" s="37">
        <v>0</v>
      </c>
      <c r="F18" s="37">
        <v>1</v>
      </c>
      <c r="G18" s="146">
        <v>0</v>
      </c>
      <c r="H18" s="102"/>
      <c r="I18" s="422">
        <v>4</v>
      </c>
      <c r="J18" s="425">
        <v>0.23750000000000002</v>
      </c>
      <c r="K18" s="428">
        <v>0</v>
      </c>
      <c r="L18" s="422">
        <v>2</v>
      </c>
      <c r="M18" s="429">
        <v>1</v>
      </c>
    </row>
    <row r="19" spans="2:16" ht="12" customHeight="1" thickBot="1" x14ac:dyDescent="0.25">
      <c r="B19" s="149" t="s">
        <v>157</v>
      </c>
      <c r="C19" s="144">
        <v>12</v>
      </c>
      <c r="D19" s="152">
        <v>6</v>
      </c>
      <c r="E19" s="37">
        <v>0</v>
      </c>
      <c r="F19" s="107">
        <v>3</v>
      </c>
      <c r="G19" s="154">
        <v>0</v>
      </c>
      <c r="H19" s="102"/>
      <c r="I19" s="423"/>
      <c r="J19" s="426"/>
      <c r="K19" s="423"/>
      <c r="L19" s="423"/>
      <c r="M19" s="430"/>
    </row>
    <row r="20" spans="2:16" ht="12.75" customHeight="1" thickBot="1" x14ac:dyDescent="0.25">
      <c r="B20" s="149">
        <v>5</v>
      </c>
      <c r="C20" s="144">
        <v>10</v>
      </c>
      <c r="D20" s="173" t="s">
        <v>94</v>
      </c>
      <c r="E20" s="37">
        <v>0</v>
      </c>
      <c r="F20" s="107">
        <v>0</v>
      </c>
      <c r="G20" s="154">
        <v>0</v>
      </c>
      <c r="H20" s="102"/>
      <c r="I20" s="424"/>
      <c r="J20" s="427"/>
      <c r="K20" s="424"/>
      <c r="L20" s="424"/>
      <c r="M20" s="431"/>
    </row>
    <row r="21" spans="2:16" ht="12.75" thickBot="1" x14ac:dyDescent="0.25">
      <c r="B21" s="149" t="s">
        <v>84</v>
      </c>
      <c r="C21" s="144">
        <v>10</v>
      </c>
      <c r="D21" s="173" t="s">
        <v>94</v>
      </c>
      <c r="E21" s="37">
        <v>0</v>
      </c>
      <c r="F21" s="107">
        <v>0</v>
      </c>
      <c r="G21" s="154">
        <v>0</v>
      </c>
      <c r="H21" s="102"/>
      <c r="I21" s="419" t="s">
        <v>14</v>
      </c>
      <c r="J21" s="420"/>
      <c r="K21" s="420"/>
      <c r="L21" s="420"/>
      <c r="M21" s="421"/>
    </row>
    <row r="22" spans="2:16" ht="12" customHeight="1" thickBot="1" x14ac:dyDescent="0.25">
      <c r="B22" s="149">
        <v>9</v>
      </c>
      <c r="C22" s="144">
        <v>15</v>
      </c>
      <c r="D22" s="173" t="s">
        <v>94</v>
      </c>
      <c r="E22" s="37">
        <v>0</v>
      </c>
      <c r="F22" s="107">
        <v>0</v>
      </c>
      <c r="G22" s="154">
        <v>0</v>
      </c>
      <c r="H22" s="102"/>
      <c r="I22" s="432" t="s">
        <v>14</v>
      </c>
      <c r="J22" s="432" t="s">
        <v>95</v>
      </c>
      <c r="K22" s="432" t="s">
        <v>88</v>
      </c>
      <c r="L22" s="432" t="s">
        <v>87</v>
      </c>
      <c r="M22" s="432" t="s">
        <v>96</v>
      </c>
      <c r="N22" s="401" t="s">
        <v>22</v>
      </c>
    </row>
    <row r="23" spans="2:16" ht="12" customHeight="1" thickBot="1" x14ac:dyDescent="0.25">
      <c r="B23" s="149">
        <v>10</v>
      </c>
      <c r="C23" s="144">
        <v>26</v>
      </c>
      <c r="D23" s="173" t="s">
        <v>94</v>
      </c>
      <c r="E23" s="37">
        <v>0</v>
      </c>
      <c r="F23" s="107">
        <v>0</v>
      </c>
      <c r="G23" s="154">
        <v>0</v>
      </c>
      <c r="H23" s="102"/>
      <c r="I23" s="433"/>
      <c r="J23" s="433"/>
      <c r="K23" s="434"/>
      <c r="L23" s="434"/>
      <c r="M23" s="434"/>
      <c r="N23" s="402"/>
    </row>
    <row r="24" spans="2:16" ht="12" customHeight="1" thickBot="1" x14ac:dyDescent="0.25">
      <c r="B24" s="149">
        <v>13</v>
      </c>
      <c r="C24" s="144">
        <v>26</v>
      </c>
      <c r="D24" s="173" t="s">
        <v>94</v>
      </c>
      <c r="E24" s="37">
        <v>0</v>
      </c>
      <c r="F24" s="107">
        <v>0</v>
      </c>
      <c r="G24" s="154">
        <v>0</v>
      </c>
      <c r="H24" s="102"/>
      <c r="I24" s="433"/>
      <c r="J24" s="433"/>
      <c r="K24" s="434"/>
      <c r="L24" s="434"/>
      <c r="M24" s="434"/>
      <c r="N24" s="402"/>
    </row>
    <row r="25" spans="2:16" ht="12" customHeight="1" thickBot="1" x14ac:dyDescent="0.25">
      <c r="B25" s="150">
        <v>22</v>
      </c>
      <c r="C25" s="144">
        <v>4</v>
      </c>
      <c r="D25" s="139">
        <v>1</v>
      </c>
      <c r="E25" s="37">
        <v>0</v>
      </c>
      <c r="F25" s="107">
        <v>1</v>
      </c>
      <c r="G25" s="154">
        <v>0</v>
      </c>
      <c r="H25" s="102"/>
      <c r="I25" s="157" t="s">
        <v>160</v>
      </c>
      <c r="J25" s="159">
        <v>15</v>
      </c>
      <c r="K25" s="106">
        <v>5</v>
      </c>
      <c r="L25" s="106">
        <v>1</v>
      </c>
      <c r="M25" s="146">
        <v>2</v>
      </c>
      <c r="N25" s="237">
        <v>28</v>
      </c>
    </row>
    <row r="26" spans="2:16" ht="12.75" thickBot="1" x14ac:dyDescent="0.25">
      <c r="B26" s="149">
        <v>22</v>
      </c>
      <c r="C26" s="144">
        <v>16</v>
      </c>
      <c r="D26" s="152">
        <v>2</v>
      </c>
      <c r="E26" s="37">
        <v>0</v>
      </c>
      <c r="F26" s="107">
        <v>0</v>
      </c>
      <c r="G26" s="154">
        <v>0</v>
      </c>
      <c r="H26" s="102"/>
      <c r="I26" s="158" t="s">
        <v>162</v>
      </c>
      <c r="J26" s="26">
        <v>3</v>
      </c>
      <c r="K26" s="108">
        <v>2</v>
      </c>
      <c r="L26" s="108">
        <v>1</v>
      </c>
      <c r="M26" s="109">
        <v>1</v>
      </c>
      <c r="N26" s="237">
        <v>6</v>
      </c>
    </row>
    <row r="27" spans="2:16" ht="12" customHeight="1" thickBot="1" x14ac:dyDescent="0.25">
      <c r="B27" s="149">
        <v>23</v>
      </c>
      <c r="C27" s="144">
        <v>26</v>
      </c>
      <c r="D27" s="152">
        <v>3</v>
      </c>
      <c r="E27" s="37">
        <v>0</v>
      </c>
      <c r="F27" s="107">
        <v>8</v>
      </c>
      <c r="G27" s="154">
        <v>3</v>
      </c>
      <c r="H27" s="102"/>
      <c r="I27" s="158" t="s">
        <v>161</v>
      </c>
      <c r="J27" s="160">
        <v>1</v>
      </c>
      <c r="K27" s="108">
        <v>0</v>
      </c>
      <c r="L27" s="108">
        <v>2</v>
      </c>
      <c r="M27" s="109">
        <v>0</v>
      </c>
      <c r="N27" s="237">
        <v>4</v>
      </c>
      <c r="P27" s="105" t="s">
        <v>3</v>
      </c>
    </row>
    <row r="28" spans="2:16" ht="12" customHeight="1" thickBot="1" x14ac:dyDescent="0.25">
      <c r="B28" s="149">
        <v>32</v>
      </c>
      <c r="C28" s="144">
        <v>23</v>
      </c>
      <c r="D28" s="152">
        <v>9</v>
      </c>
      <c r="E28" s="37">
        <v>0</v>
      </c>
      <c r="F28" s="107">
        <v>0</v>
      </c>
      <c r="G28" s="154">
        <v>0</v>
      </c>
      <c r="H28" s="102"/>
      <c r="I28" s="218" t="s">
        <v>159</v>
      </c>
      <c r="J28" s="26">
        <v>10</v>
      </c>
      <c r="K28" s="21">
        <v>5</v>
      </c>
      <c r="L28" s="21">
        <v>1</v>
      </c>
      <c r="M28" s="125">
        <v>1</v>
      </c>
      <c r="N28" s="237">
        <v>11</v>
      </c>
    </row>
    <row r="29" spans="2:16" ht="12" customHeight="1" thickBot="1" x14ac:dyDescent="0.25">
      <c r="B29" s="150">
        <v>34</v>
      </c>
      <c r="C29" s="144">
        <v>4</v>
      </c>
      <c r="D29" s="152">
        <v>4</v>
      </c>
      <c r="E29" s="37">
        <v>0</v>
      </c>
      <c r="F29" s="107">
        <v>0</v>
      </c>
      <c r="G29" s="154">
        <v>0</v>
      </c>
      <c r="H29" s="102"/>
      <c r="I29" s="158" t="s">
        <v>115</v>
      </c>
      <c r="J29" s="26">
        <v>2</v>
      </c>
      <c r="K29" s="108">
        <v>1</v>
      </c>
      <c r="L29" s="108">
        <v>1</v>
      </c>
      <c r="M29" s="109">
        <v>0</v>
      </c>
      <c r="N29" s="237">
        <v>3</v>
      </c>
    </row>
    <row r="30" spans="2:16" ht="12.75" customHeight="1" thickBot="1" x14ac:dyDescent="0.25">
      <c r="B30" s="149">
        <v>34</v>
      </c>
      <c r="C30" s="144">
        <v>16</v>
      </c>
      <c r="D30" s="152">
        <v>8</v>
      </c>
      <c r="E30" s="37">
        <v>0</v>
      </c>
      <c r="F30" s="107">
        <v>0</v>
      </c>
      <c r="G30" s="154">
        <v>0</v>
      </c>
      <c r="H30" s="102"/>
      <c r="I30" s="232" t="s">
        <v>114</v>
      </c>
      <c r="J30" s="40">
        <v>4</v>
      </c>
      <c r="K30" s="231">
        <v>0</v>
      </c>
      <c r="L30" s="231">
        <v>1</v>
      </c>
      <c r="M30" s="77">
        <v>0</v>
      </c>
      <c r="N30" s="237">
        <v>8</v>
      </c>
    </row>
    <row r="31" spans="2:16" ht="12.75" thickBot="1" x14ac:dyDescent="0.25">
      <c r="B31" s="150">
        <v>41</v>
      </c>
      <c r="C31" s="144">
        <v>21</v>
      </c>
      <c r="D31" s="152">
        <v>5</v>
      </c>
      <c r="E31" s="37">
        <v>0</v>
      </c>
      <c r="F31" s="107">
        <v>0</v>
      </c>
      <c r="G31" s="154">
        <v>0</v>
      </c>
      <c r="H31" s="102"/>
      <c r="I31" s="241"/>
      <c r="J31" s="161"/>
      <c r="K31" s="22"/>
      <c r="L31" s="22"/>
      <c r="M31" s="23"/>
      <c r="N31" s="238"/>
    </row>
    <row r="32" spans="2:16" ht="12.75" thickBot="1" x14ac:dyDescent="0.25">
      <c r="B32" s="149">
        <v>42</v>
      </c>
      <c r="C32" s="144">
        <v>24</v>
      </c>
      <c r="D32" s="152">
        <v>3</v>
      </c>
      <c r="E32" s="37">
        <v>0</v>
      </c>
      <c r="F32" s="107">
        <v>8</v>
      </c>
      <c r="G32" s="154">
        <v>3</v>
      </c>
      <c r="H32" s="102"/>
      <c r="I32" s="1"/>
      <c r="J32" s="436"/>
      <c r="K32" s="436"/>
      <c r="L32" s="436"/>
      <c r="M32" s="436"/>
    </row>
    <row r="33" spans="2:15" ht="12.75" customHeight="1" thickBot="1" x14ac:dyDescent="0.25">
      <c r="B33" s="150">
        <v>43</v>
      </c>
      <c r="C33" s="144">
        <v>19</v>
      </c>
      <c r="D33" s="152">
        <v>9</v>
      </c>
      <c r="E33" s="37">
        <v>0</v>
      </c>
      <c r="F33" s="107">
        <v>0</v>
      </c>
      <c r="G33" s="154">
        <v>0</v>
      </c>
      <c r="H33" s="1"/>
      <c r="I33" s="437" t="s">
        <v>30</v>
      </c>
      <c r="J33" s="438"/>
      <c r="K33" s="438"/>
      <c r="L33" s="438"/>
      <c r="M33" s="439"/>
      <c r="O33" s="105">
        <v>6</v>
      </c>
    </row>
    <row r="34" spans="2:15" ht="12.75" thickBot="1" x14ac:dyDescent="0.25">
      <c r="B34" s="149">
        <v>44</v>
      </c>
      <c r="C34" s="144">
        <v>30</v>
      </c>
      <c r="D34" s="152">
        <v>3</v>
      </c>
      <c r="E34" s="37">
        <v>0</v>
      </c>
      <c r="F34" s="107">
        <v>0</v>
      </c>
      <c r="G34" s="154">
        <v>0</v>
      </c>
      <c r="H34" s="102"/>
      <c r="I34" s="440" t="s">
        <v>31</v>
      </c>
      <c r="J34" s="442" t="s">
        <v>90</v>
      </c>
      <c r="K34" s="442" t="s">
        <v>13</v>
      </c>
      <c r="L34" s="442" t="s">
        <v>32</v>
      </c>
      <c r="M34" s="444" t="s">
        <v>91</v>
      </c>
    </row>
    <row r="35" spans="2:15" ht="12.75" customHeight="1" thickBot="1" x14ac:dyDescent="0.25">
      <c r="B35" s="150">
        <v>51</v>
      </c>
      <c r="C35" s="144">
        <v>10</v>
      </c>
      <c r="D35" s="139">
        <v>7</v>
      </c>
      <c r="E35" s="37">
        <v>0</v>
      </c>
      <c r="F35" s="107">
        <v>0</v>
      </c>
      <c r="G35" s="154">
        <v>0</v>
      </c>
      <c r="H35" s="1"/>
      <c r="I35" s="441"/>
      <c r="J35" s="443"/>
      <c r="K35" s="443"/>
      <c r="L35" s="443"/>
      <c r="M35" s="445"/>
    </row>
    <row r="36" spans="2:15" ht="12.75" customHeight="1" thickBot="1" x14ac:dyDescent="0.25">
      <c r="B36" s="150">
        <v>53</v>
      </c>
      <c r="C36" s="144">
        <v>24</v>
      </c>
      <c r="D36" s="139">
        <v>6</v>
      </c>
      <c r="E36" s="37">
        <v>0</v>
      </c>
      <c r="F36" s="107">
        <v>0</v>
      </c>
      <c r="G36" s="154">
        <v>0</v>
      </c>
      <c r="H36" s="1"/>
      <c r="I36" s="446">
        <v>0</v>
      </c>
      <c r="J36" s="449">
        <v>4</v>
      </c>
      <c r="K36" s="449">
        <v>2</v>
      </c>
      <c r="L36" s="449">
        <v>5</v>
      </c>
      <c r="M36" s="449">
        <v>0</v>
      </c>
    </row>
    <row r="37" spans="2:15" ht="12.75" thickBot="1" x14ac:dyDescent="0.25">
      <c r="B37" s="149" t="s">
        <v>158</v>
      </c>
      <c r="C37" s="144">
        <v>10</v>
      </c>
      <c r="D37" s="152">
        <v>6</v>
      </c>
      <c r="E37" s="37">
        <v>0</v>
      </c>
      <c r="F37" s="107">
        <v>0</v>
      </c>
      <c r="G37" s="154">
        <v>0</v>
      </c>
      <c r="H37" s="102"/>
      <c r="I37" s="447"/>
      <c r="J37" s="450"/>
      <c r="K37" s="450"/>
      <c r="L37" s="450"/>
      <c r="M37" s="450"/>
    </row>
    <row r="38" spans="2:15" ht="12.75" thickBot="1" x14ac:dyDescent="0.25">
      <c r="B38" s="149">
        <v>31</v>
      </c>
      <c r="C38" s="144">
        <v>24</v>
      </c>
      <c r="D38" s="152">
        <v>11</v>
      </c>
      <c r="E38" s="37">
        <v>0</v>
      </c>
      <c r="F38" s="107">
        <v>0</v>
      </c>
      <c r="G38" s="154">
        <v>0</v>
      </c>
      <c r="H38" s="102"/>
      <c r="I38" s="448"/>
      <c r="J38" s="451"/>
      <c r="K38" s="451"/>
      <c r="L38" s="451"/>
      <c r="M38" s="451"/>
    </row>
    <row r="39" spans="2:15" ht="13.5" customHeight="1" thickBot="1" x14ac:dyDescent="0.25">
      <c r="B39" s="149">
        <v>33</v>
      </c>
      <c r="C39" s="144">
        <v>23</v>
      </c>
      <c r="D39" s="152">
        <v>18</v>
      </c>
      <c r="E39" s="37">
        <v>0</v>
      </c>
      <c r="F39" s="107">
        <v>0</v>
      </c>
      <c r="G39" s="154">
        <v>0</v>
      </c>
      <c r="H39" s="102"/>
      <c r="J39" s="31"/>
      <c r="K39" s="435"/>
      <c r="L39" s="435"/>
      <c r="M39" s="104"/>
    </row>
    <row r="40" spans="2:15" ht="13.5" customHeight="1" thickBot="1" x14ac:dyDescent="0.25">
      <c r="B40" s="149">
        <v>52</v>
      </c>
      <c r="C40" s="144">
        <v>24</v>
      </c>
      <c r="D40" s="152">
        <v>2</v>
      </c>
      <c r="E40" s="37">
        <v>0</v>
      </c>
      <c r="F40" s="107">
        <v>0</v>
      </c>
      <c r="G40" s="154">
        <v>0</v>
      </c>
      <c r="H40" s="102"/>
      <c r="I40" s="452" t="s">
        <v>34</v>
      </c>
      <c r="J40" s="453"/>
      <c r="K40" s="453"/>
      <c r="L40" s="453"/>
      <c r="M40" s="454"/>
    </row>
    <row r="41" spans="2:15" ht="12.75" thickBot="1" x14ac:dyDescent="0.25">
      <c r="B41" s="151">
        <v>54</v>
      </c>
      <c r="C41" s="147">
        <v>24</v>
      </c>
      <c r="D41" s="172">
        <v>8</v>
      </c>
      <c r="E41" s="37">
        <v>3</v>
      </c>
      <c r="F41" s="141">
        <v>0</v>
      </c>
      <c r="G41" s="110">
        <v>0</v>
      </c>
      <c r="H41" s="102"/>
      <c r="I41" s="455" t="s">
        <v>31</v>
      </c>
      <c r="J41" s="456" t="s">
        <v>90</v>
      </c>
      <c r="K41" s="456" t="s">
        <v>13</v>
      </c>
      <c r="L41" s="456" t="s">
        <v>32</v>
      </c>
      <c r="M41" s="457" t="s">
        <v>91</v>
      </c>
    </row>
    <row r="42" spans="2:15" ht="12" customHeight="1" thickBot="1" x14ac:dyDescent="0.25">
      <c r="B42" s="137" t="s">
        <v>24</v>
      </c>
      <c r="C42" s="121"/>
      <c r="D42" s="121"/>
      <c r="E42" s="138">
        <v>2</v>
      </c>
      <c r="F42" s="121"/>
      <c r="G42" s="187"/>
      <c r="H42" s="102"/>
      <c r="I42" s="441"/>
      <c r="J42" s="443"/>
      <c r="K42" s="443"/>
      <c r="L42" s="443"/>
      <c r="M42" s="445"/>
    </row>
    <row r="43" spans="2:15" ht="12.95" customHeight="1" thickBot="1" x14ac:dyDescent="0.25">
      <c r="B43" s="28" t="s">
        <v>11</v>
      </c>
      <c r="C43" s="29">
        <f>SUM(C18:C41)</f>
        <v>458</v>
      </c>
      <c r="D43" s="30">
        <f>SUM(D18:D41)</f>
        <v>117</v>
      </c>
      <c r="E43" s="30">
        <f>SUM(E37:E42)</f>
        <v>5</v>
      </c>
      <c r="F43" s="30">
        <f>SUM(F37:F41)</f>
        <v>0</v>
      </c>
      <c r="G43" s="188">
        <f>SUM(G37:G41)</f>
        <v>0</v>
      </c>
      <c r="H43" s="102"/>
      <c r="I43" s="465">
        <v>0</v>
      </c>
      <c r="J43" s="465">
        <v>6</v>
      </c>
      <c r="K43" s="465">
        <v>4</v>
      </c>
      <c r="L43" s="465">
        <v>2</v>
      </c>
      <c r="M43" s="465">
        <v>1</v>
      </c>
    </row>
    <row r="44" spans="2:15" ht="17.100000000000001" customHeight="1" thickBot="1" x14ac:dyDescent="0.25">
      <c r="B44" s="463" t="s">
        <v>83</v>
      </c>
      <c r="C44" s="464"/>
      <c r="D44" s="94">
        <v>1</v>
      </c>
      <c r="E44" s="82">
        <v>2</v>
      </c>
      <c r="F44" s="102"/>
      <c r="G44" s="102"/>
      <c r="I44" s="466"/>
      <c r="J44" s="466"/>
      <c r="K44" s="466"/>
      <c r="L44" s="466"/>
      <c r="M44" s="466"/>
    </row>
    <row r="45" spans="2:15" ht="12.75" thickBot="1" x14ac:dyDescent="0.25">
      <c r="B45" s="39"/>
      <c r="C45" s="39"/>
      <c r="D45" s="102"/>
      <c r="E45" s="102"/>
      <c r="F45" s="6"/>
      <c r="G45" s="102"/>
      <c r="H45" s="102"/>
      <c r="I45" s="467"/>
      <c r="J45" s="467"/>
      <c r="K45" s="467"/>
      <c r="L45" s="467"/>
      <c r="M45" s="467"/>
    </row>
    <row r="46" spans="2:15" ht="12.75" thickBot="1" x14ac:dyDescent="0.25">
      <c r="B46" s="9"/>
      <c r="C46" s="104"/>
      <c r="D46" s="104"/>
      <c r="E46" s="31"/>
      <c r="F46" s="31"/>
      <c r="G46" s="31"/>
      <c r="H46" s="102"/>
    </row>
    <row r="47" spans="2:15" ht="20.25" customHeight="1" thickBot="1" x14ac:dyDescent="0.25">
      <c r="B47" s="419" t="s">
        <v>102</v>
      </c>
      <c r="C47" s="420"/>
      <c r="D47" s="420"/>
      <c r="E47" s="420"/>
      <c r="F47" s="420"/>
      <c r="G47" s="421"/>
      <c r="I47" s="458" t="s">
        <v>23</v>
      </c>
      <c r="J47" s="459"/>
      <c r="K47" s="459"/>
      <c r="L47" s="459"/>
      <c r="M47" s="460"/>
    </row>
    <row r="48" spans="2:15" ht="39" thickBot="1" x14ac:dyDescent="0.25">
      <c r="B48" s="127" t="s">
        <v>5</v>
      </c>
      <c r="C48" s="128" t="s">
        <v>22</v>
      </c>
      <c r="D48" s="129" t="s">
        <v>89</v>
      </c>
      <c r="E48" s="130" t="s">
        <v>85</v>
      </c>
      <c r="F48" s="128" t="s">
        <v>96</v>
      </c>
      <c r="G48" s="130" t="s">
        <v>86</v>
      </c>
      <c r="I48" s="99" t="s">
        <v>5</v>
      </c>
      <c r="J48" s="461" t="s">
        <v>7</v>
      </c>
      <c r="K48" s="461"/>
      <c r="L48" s="461" t="s">
        <v>71</v>
      </c>
      <c r="M48" s="462"/>
    </row>
    <row r="49" spans="2:14" ht="24" customHeight="1" thickBot="1" x14ac:dyDescent="0.25">
      <c r="B49" s="181" t="s">
        <v>99</v>
      </c>
      <c r="C49" s="86">
        <v>9</v>
      </c>
      <c r="D49" s="115">
        <v>8</v>
      </c>
      <c r="E49" s="37">
        <v>0</v>
      </c>
      <c r="F49" s="107">
        <v>3</v>
      </c>
      <c r="G49" s="154">
        <v>0</v>
      </c>
      <c r="I49" s="174" t="s">
        <v>172</v>
      </c>
      <c r="J49" s="175">
        <v>12</v>
      </c>
      <c r="K49" s="175">
        <v>12</v>
      </c>
      <c r="L49" s="175">
        <v>5</v>
      </c>
      <c r="M49" s="176">
        <v>12</v>
      </c>
    </row>
    <row r="50" spans="2:14" ht="24" customHeight="1" thickBot="1" x14ac:dyDescent="0.25">
      <c r="B50" s="182" t="s">
        <v>100</v>
      </c>
      <c r="C50" s="87">
        <v>4</v>
      </c>
      <c r="D50" s="115">
        <v>4</v>
      </c>
      <c r="E50" s="37">
        <v>0</v>
      </c>
      <c r="F50" s="107">
        <v>0</v>
      </c>
      <c r="G50" s="154">
        <v>0</v>
      </c>
      <c r="I50" s="174" t="s">
        <v>173</v>
      </c>
      <c r="J50" s="175">
        <v>15</v>
      </c>
      <c r="K50" s="175">
        <v>15</v>
      </c>
      <c r="L50" s="175">
        <v>15</v>
      </c>
      <c r="M50" s="176">
        <v>15</v>
      </c>
    </row>
    <row r="51" spans="2:14" ht="24" customHeight="1" thickBot="1" x14ac:dyDescent="0.25">
      <c r="B51" s="182" t="s">
        <v>25</v>
      </c>
      <c r="C51" s="87">
        <v>11</v>
      </c>
      <c r="D51" s="115">
        <v>11</v>
      </c>
      <c r="E51" s="37">
        <v>0</v>
      </c>
      <c r="F51" s="107">
        <v>0</v>
      </c>
      <c r="G51" s="154">
        <v>0</v>
      </c>
      <c r="I51" s="174" t="s">
        <v>174</v>
      </c>
      <c r="J51" s="175">
        <v>1</v>
      </c>
      <c r="K51" s="175">
        <v>1</v>
      </c>
      <c r="L51" s="175">
        <v>0</v>
      </c>
      <c r="M51" s="176">
        <v>0</v>
      </c>
      <c r="N51" s="105" t="s">
        <v>3</v>
      </c>
    </row>
    <row r="52" spans="2:14" ht="24" customHeight="1" thickBot="1" x14ac:dyDescent="0.25">
      <c r="B52" s="183" t="s">
        <v>99</v>
      </c>
      <c r="C52" s="87">
        <v>10</v>
      </c>
      <c r="D52" s="115">
        <v>4</v>
      </c>
      <c r="E52" s="37">
        <v>0</v>
      </c>
      <c r="F52" s="107">
        <v>0</v>
      </c>
      <c r="G52" s="154">
        <v>0</v>
      </c>
      <c r="I52" s="174" t="s">
        <v>175</v>
      </c>
      <c r="J52" s="178">
        <v>1</v>
      </c>
      <c r="K52" s="178">
        <v>2</v>
      </c>
      <c r="L52" s="178">
        <v>2</v>
      </c>
      <c r="M52" s="179">
        <v>1</v>
      </c>
    </row>
    <row r="53" spans="2:14" ht="24" customHeight="1" thickBot="1" x14ac:dyDescent="0.25">
      <c r="B53" s="183" t="s">
        <v>116</v>
      </c>
      <c r="C53" s="87">
        <v>3</v>
      </c>
      <c r="D53" s="115">
        <v>2</v>
      </c>
      <c r="E53" s="37">
        <v>0</v>
      </c>
      <c r="F53" s="107">
        <v>0</v>
      </c>
      <c r="G53" s="154">
        <v>0</v>
      </c>
      <c r="I53" s="267"/>
      <c r="J53" s="267"/>
      <c r="K53" s="267"/>
      <c r="L53" s="267"/>
      <c r="M53" s="267"/>
    </row>
    <row r="54" spans="2:14" ht="24" customHeight="1" thickBot="1" x14ac:dyDescent="0.25">
      <c r="B54" s="183" t="s">
        <v>100</v>
      </c>
      <c r="C54" s="87">
        <v>3</v>
      </c>
      <c r="D54" s="115">
        <v>2</v>
      </c>
      <c r="E54" s="37">
        <v>0</v>
      </c>
      <c r="F54" s="107">
        <v>0</v>
      </c>
      <c r="G54" s="154">
        <v>0</v>
      </c>
      <c r="I54" s="97"/>
      <c r="J54" s="97"/>
      <c r="K54" s="97"/>
      <c r="L54" s="97"/>
      <c r="M54" s="97"/>
      <c r="N54" s="105" t="s">
        <v>3</v>
      </c>
    </row>
    <row r="55" spans="2:14" ht="24" customHeight="1" thickBot="1" x14ac:dyDescent="0.25">
      <c r="B55" s="183" t="s">
        <v>25</v>
      </c>
      <c r="C55" s="87">
        <v>13</v>
      </c>
      <c r="D55" s="115">
        <v>3</v>
      </c>
      <c r="E55" s="37">
        <v>0</v>
      </c>
      <c r="F55" s="107">
        <v>1</v>
      </c>
      <c r="G55" s="154">
        <v>0</v>
      </c>
      <c r="H55" s="102"/>
      <c r="I55" s="97"/>
      <c r="J55" s="97"/>
      <c r="K55" s="97"/>
      <c r="L55" s="97"/>
      <c r="M55" s="97"/>
      <c r="N55" s="105" t="s">
        <v>3</v>
      </c>
    </row>
    <row r="56" spans="2:14" ht="24" customHeight="1" thickBot="1" x14ac:dyDescent="0.25">
      <c r="B56" s="184" t="s">
        <v>101</v>
      </c>
      <c r="C56" s="87">
        <v>18</v>
      </c>
      <c r="D56" s="133">
        <v>12</v>
      </c>
      <c r="E56" s="37">
        <v>0</v>
      </c>
      <c r="F56" s="107">
        <v>0</v>
      </c>
      <c r="G56" s="154">
        <v>0</v>
      </c>
      <c r="H56" s="102"/>
      <c r="I56" s="97"/>
      <c r="J56" s="97"/>
      <c r="K56" s="97"/>
      <c r="L56" s="97"/>
      <c r="M56" s="97"/>
    </row>
    <row r="57" spans="2:14" ht="24" customHeight="1" thickBot="1" x14ac:dyDescent="0.25">
      <c r="B57" s="185" t="s">
        <v>101</v>
      </c>
      <c r="C57" s="88">
        <v>8</v>
      </c>
      <c r="D57" s="133">
        <v>7</v>
      </c>
      <c r="E57" s="37">
        <v>0</v>
      </c>
      <c r="F57" s="107">
        <v>8</v>
      </c>
      <c r="G57" s="154">
        <v>3</v>
      </c>
      <c r="H57" s="102"/>
      <c r="I57" s="97"/>
      <c r="J57" s="97"/>
      <c r="K57" s="97"/>
      <c r="L57" s="97"/>
      <c r="M57" s="97"/>
    </row>
    <row r="58" spans="2:14" ht="24" customHeight="1" thickBot="1" x14ac:dyDescent="0.25">
      <c r="B58" s="186" t="s">
        <v>26</v>
      </c>
      <c r="C58" s="88">
        <v>17</v>
      </c>
      <c r="D58" s="133">
        <v>11</v>
      </c>
      <c r="E58" s="37">
        <v>0</v>
      </c>
      <c r="F58" s="107">
        <v>8</v>
      </c>
      <c r="G58" s="154">
        <v>3</v>
      </c>
      <c r="H58" s="102"/>
      <c r="I58" s="97"/>
      <c r="J58" s="97"/>
      <c r="K58" s="97"/>
      <c r="L58" s="97"/>
      <c r="M58" s="97"/>
    </row>
    <row r="59" spans="2:14" ht="24" customHeight="1" thickBot="1" x14ac:dyDescent="0.25">
      <c r="B59" s="185" t="s">
        <v>26</v>
      </c>
      <c r="C59" s="88">
        <v>3</v>
      </c>
      <c r="D59" s="133">
        <v>3</v>
      </c>
      <c r="E59" s="37">
        <v>0</v>
      </c>
      <c r="F59" s="107">
        <v>8</v>
      </c>
      <c r="G59" s="154">
        <v>3</v>
      </c>
      <c r="J59" s="105" t="s">
        <v>3</v>
      </c>
    </row>
    <row r="60" spans="2:14" ht="15.75" customHeight="1" thickBot="1" x14ac:dyDescent="0.25">
      <c r="B60" s="28" t="s">
        <v>11</v>
      </c>
      <c r="C60" s="78"/>
      <c r="D60" s="30">
        <f>SUM(D38:D59)</f>
        <v>224</v>
      </c>
      <c r="E60" s="30">
        <f>SUM(E38:E59)</f>
        <v>12</v>
      </c>
      <c r="F60" s="79">
        <f>SUM(F38:F59)</f>
        <v>28</v>
      </c>
      <c r="G60" s="190">
        <f>SUM(G38:G59)</f>
        <v>9</v>
      </c>
    </row>
    <row r="64" spans="2:14" x14ac:dyDescent="0.2">
      <c r="E64" s="105" t="s">
        <v>3</v>
      </c>
    </row>
    <row r="65" spans="11:11" x14ac:dyDescent="0.2">
      <c r="K65" s="105" t="s">
        <v>3</v>
      </c>
    </row>
  </sheetData>
  <sheetProtection selectLockedCells="1"/>
  <mergeCells count="59">
    <mergeCell ref="I47:M47"/>
    <mergeCell ref="J48:K48"/>
    <mergeCell ref="L48:M48"/>
    <mergeCell ref="B44:C44"/>
    <mergeCell ref="I43:I45"/>
    <mergeCell ref="J43:J45"/>
    <mergeCell ref="K43:K45"/>
    <mergeCell ref="L43:L45"/>
    <mergeCell ref="M43:M45"/>
    <mergeCell ref="B47:G47"/>
    <mergeCell ref="I40:M40"/>
    <mergeCell ref="I41:I42"/>
    <mergeCell ref="J41:J42"/>
    <mergeCell ref="K41:K42"/>
    <mergeCell ref="L41:L42"/>
    <mergeCell ref="M41:M42"/>
    <mergeCell ref="K39:L39"/>
    <mergeCell ref="J32:M32"/>
    <mergeCell ref="I33:M33"/>
    <mergeCell ref="I34:I35"/>
    <mergeCell ref="J34:J35"/>
    <mergeCell ref="K34:K35"/>
    <mergeCell ref="L34:L35"/>
    <mergeCell ref="M34:M35"/>
    <mergeCell ref="I36:I38"/>
    <mergeCell ref="J36:J38"/>
    <mergeCell ref="K36:K38"/>
    <mergeCell ref="L36:L38"/>
    <mergeCell ref="M36:M38"/>
    <mergeCell ref="I21:M21"/>
    <mergeCell ref="I22:I24"/>
    <mergeCell ref="J22:J24"/>
    <mergeCell ref="K22:K24"/>
    <mergeCell ref="L22:L24"/>
    <mergeCell ref="M22:M24"/>
    <mergeCell ref="H13:J13"/>
    <mergeCell ref="I16:M16"/>
    <mergeCell ref="B16:G16"/>
    <mergeCell ref="I18:I20"/>
    <mergeCell ref="J18:J20"/>
    <mergeCell ref="K18:K20"/>
    <mergeCell ref="L18:L20"/>
    <mergeCell ref="M18:M20"/>
    <mergeCell ref="N22:N24"/>
    <mergeCell ref="B2:M2"/>
    <mergeCell ref="C4:D4"/>
    <mergeCell ref="B7:D7"/>
    <mergeCell ref="H7:J7"/>
    <mergeCell ref="B8:D8"/>
    <mergeCell ref="H8:J8"/>
    <mergeCell ref="B9:D9"/>
    <mergeCell ref="H9:J9"/>
    <mergeCell ref="B10:D10"/>
    <mergeCell ref="H10:J10"/>
    <mergeCell ref="B11:D11"/>
    <mergeCell ref="H11:J11"/>
    <mergeCell ref="B12:D12"/>
    <mergeCell ref="H12:J12"/>
    <mergeCell ref="B13:D13"/>
  </mergeCells>
  <phoneticPr fontId="32" type="noConversion"/>
  <conditionalFormatting sqref="M36:M39">
    <cfRule type="cellIs" dxfId="52" priority="8" operator="greaterThanOrEqual">
      <formula>1</formula>
    </cfRule>
  </conditionalFormatting>
  <conditionalFormatting sqref="M18:M20">
    <cfRule type="cellIs" dxfId="51" priority="2" operator="greaterThan">
      <formula>0</formula>
    </cfRule>
  </conditionalFormatting>
  <conditionalFormatting sqref="L18:L20">
    <cfRule type="cellIs" dxfId="50" priority="1" operator="greaterThan">
      <formula>0</formula>
    </cfRule>
  </conditionalFormatting>
  <pageMargins left="0.74803149606299213" right="0.74803149606299213" top="0.98425196850393704" bottom="0.98425196850393704" header="0.51181102362204722" footer="0.51181102362204722"/>
  <pageSetup paperSize="9" scale="57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V68"/>
  <sheetViews>
    <sheetView showGridLines="0" tabSelected="1" topLeftCell="L14" zoomScaleNormal="100" workbookViewId="0">
      <selection activeCell="M43" sqref="M43"/>
    </sheetView>
  </sheetViews>
  <sheetFormatPr defaultColWidth="9.140625" defaultRowHeight="12" x14ac:dyDescent="0.2"/>
  <cols>
    <col min="1" max="1" width="4.42578125" style="3" customWidth="1"/>
    <col min="2" max="2" width="15.28515625" style="3" customWidth="1"/>
    <col min="3" max="3" width="10.5703125" style="3" customWidth="1"/>
    <col min="4" max="4" width="11.28515625" style="3" customWidth="1"/>
    <col min="5" max="5" width="10.42578125" style="3" customWidth="1"/>
    <col min="6" max="6" width="11" style="3" customWidth="1"/>
    <col min="7" max="7" width="10.42578125" style="3" customWidth="1"/>
    <col min="8" max="8" width="11.5703125" style="3" customWidth="1"/>
    <col min="9" max="9" width="8.7109375" style="7" customWidth="1"/>
    <col min="10" max="10" width="9" style="3" customWidth="1"/>
    <col min="11" max="11" width="1.42578125" style="3" customWidth="1"/>
    <col min="12" max="12" width="17.5703125" style="3" customWidth="1"/>
    <col min="13" max="13" width="11.140625" style="3" customWidth="1"/>
    <col min="14" max="14" width="12.42578125" style="3" customWidth="1"/>
    <col min="15" max="15" width="12.28515625" style="3" customWidth="1"/>
    <col min="16" max="16" width="10.85546875" style="3" customWidth="1"/>
    <col min="17" max="18" width="8" style="3" customWidth="1"/>
    <col min="19" max="19" width="9.140625" style="3"/>
    <col min="20" max="20" width="12" style="3" customWidth="1"/>
    <col min="21" max="16384" width="9.140625" style="3"/>
  </cols>
  <sheetData>
    <row r="1" spans="2:19" s="105" customFormat="1" ht="12.75" thickBot="1" x14ac:dyDescent="0.25"/>
    <row r="2" spans="2:19" ht="37.5" customHeight="1" thickBot="1" x14ac:dyDescent="0.25">
      <c r="B2" s="403" t="s">
        <v>92</v>
      </c>
      <c r="C2" s="404"/>
      <c r="D2" s="404"/>
      <c r="E2" s="404"/>
      <c r="F2" s="404"/>
      <c r="G2" s="404"/>
      <c r="H2" s="404"/>
      <c r="I2" s="404"/>
      <c r="J2" s="404"/>
      <c r="K2" s="404"/>
      <c r="L2" s="404"/>
      <c r="M2" s="404"/>
      <c r="N2" s="404"/>
      <c r="O2" s="404"/>
      <c r="P2" s="404"/>
      <c r="Q2" s="404"/>
      <c r="R2" s="404"/>
      <c r="S2" s="405"/>
    </row>
    <row r="3" spans="2:19" s="102" customFormat="1" ht="11.25" customHeight="1" thickBot="1" x14ac:dyDescent="0.25">
      <c r="B3" s="112"/>
      <c r="C3" s="112"/>
      <c r="D3" s="112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</row>
    <row r="4" spans="2:19" s="102" customFormat="1" ht="21" customHeight="1" thickBot="1" x14ac:dyDescent="0.25">
      <c r="B4" s="114" t="s">
        <v>21</v>
      </c>
      <c r="C4" s="406" t="s">
        <v>166</v>
      </c>
      <c r="D4" s="407"/>
      <c r="E4" s="113"/>
      <c r="F4" s="114" t="s">
        <v>0</v>
      </c>
      <c r="G4" s="134">
        <v>0.35416666666666669</v>
      </c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</row>
    <row r="5" spans="2:19" s="102" customFormat="1" ht="21" customHeight="1" x14ac:dyDescent="0.2"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2:19" s="105" customFormat="1" ht="12.75" thickBot="1" x14ac:dyDescent="0.25"/>
    <row r="7" spans="2:19" ht="20.25" customHeight="1" x14ac:dyDescent="0.2">
      <c r="B7" s="495" t="s">
        <v>8</v>
      </c>
      <c r="C7" s="496"/>
      <c r="D7" s="496"/>
      <c r="E7" s="193">
        <f>SUM(E19:E43)</f>
        <v>7</v>
      </c>
      <c r="F7" s="102"/>
      <c r="G7" s="111"/>
      <c r="H7" s="9"/>
      <c r="I7" s="9"/>
      <c r="K7" s="410"/>
      <c r="L7" s="410"/>
      <c r="M7" s="410"/>
      <c r="N7" s="9"/>
      <c r="P7" s="36" t="s">
        <v>3</v>
      </c>
    </row>
    <row r="8" spans="2:19" ht="20.25" customHeight="1" x14ac:dyDescent="0.2">
      <c r="B8" s="411" t="s">
        <v>9</v>
      </c>
      <c r="C8" s="412"/>
      <c r="D8" s="412"/>
      <c r="E8" s="194">
        <v>4</v>
      </c>
      <c r="F8" s="13"/>
      <c r="G8" s="12"/>
      <c r="H8" s="98"/>
      <c r="I8" s="9"/>
      <c r="K8" s="410"/>
      <c r="L8" s="410"/>
      <c r="M8" s="410"/>
      <c r="N8" s="9"/>
    </row>
    <row r="9" spans="2:19" ht="20.25" customHeight="1" x14ac:dyDescent="0.2">
      <c r="B9" s="411" t="s">
        <v>10</v>
      </c>
      <c r="C9" s="412"/>
      <c r="D9" s="412"/>
      <c r="E9" s="195">
        <f>(E7+E8)</f>
        <v>11</v>
      </c>
      <c r="F9" s="13"/>
      <c r="G9" s="111"/>
      <c r="H9" s="9"/>
      <c r="I9" s="9"/>
      <c r="K9" s="410"/>
      <c r="L9" s="410"/>
      <c r="M9" s="410"/>
      <c r="N9" s="9"/>
    </row>
    <row r="10" spans="2:19" ht="20.25" customHeight="1" x14ac:dyDescent="0.2">
      <c r="B10" s="411" t="s">
        <v>104</v>
      </c>
      <c r="C10" s="412"/>
      <c r="D10" s="412"/>
      <c r="E10" s="196">
        <v>3</v>
      </c>
      <c r="F10" s="8"/>
      <c r="G10" s="111"/>
      <c r="H10" s="98"/>
      <c r="I10" s="9"/>
      <c r="K10" s="410"/>
      <c r="L10" s="410"/>
      <c r="M10" s="410"/>
      <c r="N10" s="9"/>
      <c r="O10" s="8"/>
      <c r="P10" s="8"/>
      <c r="R10" s="2"/>
      <c r="S10" s="33" t="s">
        <v>3</v>
      </c>
    </row>
    <row r="11" spans="2:19" ht="20.25" customHeight="1" x14ac:dyDescent="0.2">
      <c r="B11" s="411" t="s">
        <v>1</v>
      </c>
      <c r="C11" s="412"/>
      <c r="D11" s="412"/>
      <c r="E11" s="197">
        <f>(E8-E9)</f>
        <v>-7</v>
      </c>
      <c r="F11" s="8"/>
      <c r="G11" s="111"/>
      <c r="H11" s="9"/>
      <c r="I11" s="9"/>
      <c r="K11" s="410"/>
      <c r="L11" s="410"/>
      <c r="M11" s="410"/>
      <c r="N11" s="9"/>
      <c r="O11" s="8"/>
      <c r="P11" s="8"/>
      <c r="R11" s="2"/>
    </row>
    <row r="12" spans="2:19" ht="20.25" customHeight="1" x14ac:dyDescent="0.2">
      <c r="B12" s="411" t="s">
        <v>4</v>
      </c>
      <c r="C12" s="412"/>
      <c r="D12" s="412"/>
      <c r="E12" s="198">
        <f>SUM(D19:D42)</f>
        <v>132</v>
      </c>
      <c r="F12" s="8"/>
      <c r="G12" s="111"/>
      <c r="H12" s="9"/>
      <c r="I12" s="9"/>
      <c r="K12" s="410"/>
      <c r="L12" s="410"/>
      <c r="M12" s="410"/>
      <c r="N12" s="9"/>
      <c r="O12" s="11" t="s">
        <v>3</v>
      </c>
      <c r="P12" s="11"/>
      <c r="R12" s="2"/>
    </row>
    <row r="13" spans="2:19" ht="20.25" customHeight="1" x14ac:dyDescent="0.2">
      <c r="B13" s="493" t="s">
        <v>93</v>
      </c>
      <c r="C13" s="494"/>
      <c r="D13" s="494"/>
      <c r="E13" s="199">
        <f>SUM(F19:F42)</f>
        <v>8</v>
      </c>
      <c r="F13" s="4"/>
      <c r="G13" s="111"/>
      <c r="H13" s="9"/>
      <c r="I13" s="9" t="s">
        <v>3</v>
      </c>
      <c r="K13" s="410"/>
      <c r="L13" s="410"/>
      <c r="M13" s="410"/>
      <c r="N13" s="9"/>
      <c r="O13" s="11"/>
      <c r="P13" s="11"/>
      <c r="R13" s="2"/>
    </row>
    <row r="14" spans="2:19" s="105" customFormat="1" ht="20.25" customHeight="1" thickBot="1" x14ac:dyDescent="0.3">
      <c r="B14" s="490" t="s">
        <v>103</v>
      </c>
      <c r="C14" s="491"/>
      <c r="D14" s="492"/>
      <c r="E14" s="200">
        <f>(E12+E13-E9)</f>
        <v>129</v>
      </c>
      <c r="F14" s="4"/>
      <c r="G14" s="191"/>
      <c r="H14" s="9"/>
      <c r="I14" s="9"/>
      <c r="K14" s="191"/>
      <c r="L14" s="191"/>
      <c r="M14" s="191"/>
      <c r="N14" s="9"/>
      <c r="O14" s="100"/>
      <c r="P14" s="100"/>
      <c r="R14" s="102"/>
    </row>
    <row r="15" spans="2:19" ht="12.75" customHeight="1" x14ac:dyDescent="0.2"/>
    <row r="16" spans="2:19" ht="3" customHeight="1" thickBot="1" x14ac:dyDescent="0.25"/>
    <row r="17" spans="2:22" ht="23.25" customHeight="1" thickBot="1" x14ac:dyDescent="0.25">
      <c r="B17" s="419" t="s">
        <v>12</v>
      </c>
      <c r="C17" s="420"/>
      <c r="D17" s="420"/>
      <c r="E17" s="420"/>
      <c r="F17" s="420"/>
      <c r="G17" s="420"/>
      <c r="H17" s="420"/>
      <c r="I17" s="420"/>
      <c r="J17" s="421"/>
      <c r="K17" s="15"/>
      <c r="L17" s="419" t="s">
        <v>19</v>
      </c>
      <c r="M17" s="420"/>
      <c r="N17" s="420"/>
      <c r="O17" s="420"/>
      <c r="P17" s="420"/>
      <c r="Q17" s="420"/>
      <c r="R17" s="420"/>
      <c r="S17" s="421"/>
    </row>
    <row r="18" spans="2:22" ht="69.75" customHeight="1" thickBot="1" x14ac:dyDescent="0.25">
      <c r="B18" s="91" t="s">
        <v>5</v>
      </c>
      <c r="C18" s="89" t="s">
        <v>22</v>
      </c>
      <c r="D18" s="135" t="s">
        <v>89</v>
      </c>
      <c r="E18" s="90" t="s">
        <v>85</v>
      </c>
      <c r="F18" s="89" t="s">
        <v>96</v>
      </c>
      <c r="G18" s="90" t="s">
        <v>97</v>
      </c>
      <c r="H18" s="136" t="s">
        <v>27</v>
      </c>
      <c r="I18" s="93" t="s">
        <v>28</v>
      </c>
      <c r="J18" s="92" t="s">
        <v>20</v>
      </c>
      <c r="K18" s="1"/>
      <c r="L18" s="16" t="s">
        <v>15</v>
      </c>
      <c r="M18" s="16" t="s">
        <v>16</v>
      </c>
      <c r="N18" s="16" t="s">
        <v>98</v>
      </c>
      <c r="O18" s="242" t="s">
        <v>17</v>
      </c>
      <c r="P18" s="103" t="s">
        <v>18</v>
      </c>
      <c r="Q18" s="18" t="s">
        <v>27</v>
      </c>
      <c r="R18" s="35" t="s">
        <v>28</v>
      </c>
      <c r="S18" s="17" t="s">
        <v>20</v>
      </c>
    </row>
    <row r="19" spans="2:22" ht="13.5" customHeight="1" x14ac:dyDescent="0.2">
      <c r="B19" s="148" t="s">
        <v>6</v>
      </c>
      <c r="C19" s="143">
        <v>37</v>
      </c>
      <c r="D19" s="140">
        <v>13</v>
      </c>
      <c r="E19" s="37">
        <v>0</v>
      </c>
      <c r="F19" s="37">
        <v>0</v>
      </c>
      <c r="G19" s="117">
        <v>0</v>
      </c>
      <c r="H19" s="145">
        <v>1</v>
      </c>
      <c r="I19" s="146">
        <v>0</v>
      </c>
      <c r="J19" s="75" t="s">
        <v>59</v>
      </c>
      <c r="K19" s="8"/>
      <c r="L19" s="422">
        <v>2</v>
      </c>
      <c r="M19" s="425" t="s">
        <v>167</v>
      </c>
      <c r="N19" s="428">
        <v>0</v>
      </c>
      <c r="O19" s="422">
        <v>3</v>
      </c>
      <c r="P19" s="429">
        <v>1</v>
      </c>
      <c r="Q19" s="487">
        <v>1</v>
      </c>
      <c r="R19" s="484">
        <v>1</v>
      </c>
      <c r="S19" s="477" t="s">
        <v>33</v>
      </c>
    </row>
    <row r="20" spans="2:22" ht="12" customHeight="1" x14ac:dyDescent="0.2">
      <c r="B20" s="149" t="s">
        <v>157</v>
      </c>
      <c r="C20" s="144">
        <v>12</v>
      </c>
      <c r="D20" s="152">
        <v>6</v>
      </c>
      <c r="E20" s="107">
        <v>0</v>
      </c>
      <c r="F20" s="107">
        <v>1</v>
      </c>
      <c r="G20" s="118">
        <v>1</v>
      </c>
      <c r="H20" s="153">
        <v>0</v>
      </c>
      <c r="I20" s="154">
        <v>0</v>
      </c>
      <c r="J20" s="76" t="s">
        <v>33</v>
      </c>
      <c r="K20" s="8"/>
      <c r="L20" s="423"/>
      <c r="M20" s="426"/>
      <c r="N20" s="423"/>
      <c r="O20" s="423"/>
      <c r="P20" s="430"/>
      <c r="Q20" s="488"/>
      <c r="R20" s="485"/>
      <c r="S20" s="478"/>
    </row>
    <row r="21" spans="2:22" ht="12.75" customHeight="1" thickBot="1" x14ac:dyDescent="0.25">
      <c r="B21" s="149">
        <v>5</v>
      </c>
      <c r="C21" s="144">
        <v>10</v>
      </c>
      <c r="D21" s="173" t="s">
        <v>94</v>
      </c>
      <c r="E21" s="107">
        <v>0</v>
      </c>
      <c r="F21" s="107">
        <v>0</v>
      </c>
      <c r="G21" s="118">
        <v>0</v>
      </c>
      <c r="H21" s="153">
        <v>0</v>
      </c>
      <c r="I21" s="154">
        <v>0</v>
      </c>
      <c r="J21" s="76" t="s">
        <v>33</v>
      </c>
      <c r="K21" s="8"/>
      <c r="L21" s="424"/>
      <c r="M21" s="427"/>
      <c r="N21" s="424"/>
      <c r="O21" s="424"/>
      <c r="P21" s="431"/>
      <c r="Q21" s="489"/>
      <c r="R21" s="486"/>
      <c r="S21" s="479"/>
    </row>
    <row r="22" spans="2:22" ht="12.75" thickBot="1" x14ac:dyDescent="0.25">
      <c r="B22" s="149" t="s">
        <v>84</v>
      </c>
      <c r="C22" s="144">
        <v>10</v>
      </c>
      <c r="D22" s="173" t="s">
        <v>94</v>
      </c>
      <c r="E22" s="37">
        <v>0</v>
      </c>
      <c r="F22" s="107">
        <v>0</v>
      </c>
      <c r="G22" s="118">
        <v>0</v>
      </c>
      <c r="H22" s="153">
        <v>0</v>
      </c>
      <c r="I22" s="154">
        <v>0</v>
      </c>
      <c r="J22" s="76" t="s">
        <v>33</v>
      </c>
      <c r="K22" s="8"/>
      <c r="L22" s="419" t="s">
        <v>14</v>
      </c>
      <c r="M22" s="420"/>
      <c r="N22" s="420"/>
      <c r="O22" s="420"/>
      <c r="P22" s="420"/>
      <c r="Q22" s="420"/>
      <c r="R22" s="420"/>
      <c r="S22" s="421"/>
    </row>
    <row r="23" spans="2:22" ht="12" customHeight="1" x14ac:dyDescent="0.2">
      <c r="B23" s="149">
        <v>9</v>
      </c>
      <c r="C23" s="144">
        <v>15</v>
      </c>
      <c r="D23" s="173" t="s">
        <v>94</v>
      </c>
      <c r="E23" s="107">
        <v>0</v>
      </c>
      <c r="F23" s="107">
        <v>0</v>
      </c>
      <c r="G23" s="118">
        <v>0</v>
      </c>
      <c r="H23" s="153">
        <v>0</v>
      </c>
      <c r="I23" s="154">
        <v>0</v>
      </c>
      <c r="J23" s="76" t="s">
        <v>33</v>
      </c>
      <c r="K23" s="8"/>
      <c r="L23" s="432" t="s">
        <v>14</v>
      </c>
      <c r="M23" s="432" t="s">
        <v>95</v>
      </c>
      <c r="N23" s="432" t="s">
        <v>88</v>
      </c>
      <c r="O23" s="432" t="s">
        <v>87</v>
      </c>
      <c r="P23" s="482" t="s">
        <v>96</v>
      </c>
      <c r="Q23" s="470" t="s">
        <v>27</v>
      </c>
      <c r="R23" s="480" t="s">
        <v>28</v>
      </c>
      <c r="S23" s="468" t="s">
        <v>20</v>
      </c>
      <c r="T23" s="401" t="s">
        <v>22</v>
      </c>
    </row>
    <row r="24" spans="2:22" ht="12" customHeight="1" thickBot="1" x14ac:dyDescent="0.25">
      <c r="B24" s="149">
        <v>10</v>
      </c>
      <c r="C24" s="144">
        <v>26</v>
      </c>
      <c r="D24" s="173" t="s">
        <v>94</v>
      </c>
      <c r="E24" s="107">
        <v>0</v>
      </c>
      <c r="F24" s="107">
        <v>0</v>
      </c>
      <c r="G24" s="118">
        <v>0</v>
      </c>
      <c r="H24" s="153">
        <v>0</v>
      </c>
      <c r="I24" s="154">
        <v>0</v>
      </c>
      <c r="J24" s="76" t="s">
        <v>33</v>
      </c>
      <c r="K24" s="8"/>
      <c r="L24" s="433"/>
      <c r="M24" s="433"/>
      <c r="N24" s="434"/>
      <c r="O24" s="434"/>
      <c r="P24" s="483"/>
      <c r="Q24" s="471"/>
      <c r="R24" s="481"/>
      <c r="S24" s="469"/>
      <c r="T24" s="402"/>
    </row>
    <row r="25" spans="2:22" ht="12" customHeight="1" thickBot="1" x14ac:dyDescent="0.25">
      <c r="B25" s="149">
        <v>13</v>
      </c>
      <c r="C25" s="144">
        <v>26</v>
      </c>
      <c r="D25" s="173" t="s">
        <v>94</v>
      </c>
      <c r="E25" s="37">
        <v>0</v>
      </c>
      <c r="F25" s="107">
        <v>0</v>
      </c>
      <c r="G25" s="118">
        <v>0</v>
      </c>
      <c r="H25" s="153">
        <v>0</v>
      </c>
      <c r="I25" s="154">
        <v>0</v>
      </c>
      <c r="J25" s="76" t="s">
        <v>33</v>
      </c>
      <c r="K25" s="8"/>
      <c r="L25" s="433"/>
      <c r="M25" s="433"/>
      <c r="N25" s="434"/>
      <c r="O25" s="434"/>
      <c r="P25" s="483"/>
      <c r="Q25" s="471"/>
      <c r="R25" s="481"/>
      <c r="S25" s="469"/>
      <c r="T25" s="402"/>
    </row>
    <row r="26" spans="2:22" s="105" customFormat="1" x14ac:dyDescent="0.2">
      <c r="B26" s="150">
        <v>22</v>
      </c>
      <c r="C26" s="144">
        <v>4</v>
      </c>
      <c r="D26" s="139">
        <v>1</v>
      </c>
      <c r="E26" s="107">
        <v>0</v>
      </c>
      <c r="F26" s="107">
        <v>0</v>
      </c>
      <c r="G26" s="118">
        <v>0</v>
      </c>
      <c r="H26" s="153">
        <v>1</v>
      </c>
      <c r="I26" s="154">
        <v>1</v>
      </c>
      <c r="J26" s="76" t="s">
        <v>33</v>
      </c>
      <c r="K26" s="102"/>
      <c r="L26" s="157" t="s">
        <v>160</v>
      </c>
      <c r="M26" s="159">
        <v>1</v>
      </c>
      <c r="N26" s="106">
        <v>2</v>
      </c>
      <c r="O26" s="106">
        <v>0</v>
      </c>
      <c r="P26" s="117">
        <v>2</v>
      </c>
      <c r="Q26" s="145">
        <v>0</v>
      </c>
      <c r="R26" s="146">
        <v>0</v>
      </c>
      <c r="S26" s="122" t="s">
        <v>33</v>
      </c>
      <c r="T26" s="237">
        <v>28</v>
      </c>
    </row>
    <row r="27" spans="2:22" ht="12.75" thickBot="1" x14ac:dyDescent="0.25">
      <c r="B27" s="149">
        <v>22</v>
      </c>
      <c r="C27" s="144">
        <v>16</v>
      </c>
      <c r="D27" s="152">
        <v>2</v>
      </c>
      <c r="E27" s="107">
        <v>0</v>
      </c>
      <c r="F27" s="107">
        <v>0</v>
      </c>
      <c r="G27" s="118">
        <v>0</v>
      </c>
      <c r="H27" s="153">
        <v>0</v>
      </c>
      <c r="I27" s="154">
        <v>0</v>
      </c>
      <c r="J27" s="76" t="s">
        <v>33</v>
      </c>
      <c r="K27" s="8"/>
      <c r="L27" s="158" t="s">
        <v>162</v>
      </c>
      <c r="M27" s="26">
        <v>1</v>
      </c>
      <c r="N27" s="108">
        <v>1</v>
      </c>
      <c r="O27" s="108">
        <v>2</v>
      </c>
      <c r="P27" s="162">
        <v>1</v>
      </c>
      <c r="Q27" s="24">
        <v>1</v>
      </c>
      <c r="R27" s="109">
        <v>0</v>
      </c>
      <c r="S27" s="123" t="s">
        <v>182</v>
      </c>
      <c r="T27" s="237">
        <v>6</v>
      </c>
    </row>
    <row r="28" spans="2:22" ht="12" customHeight="1" x14ac:dyDescent="0.2">
      <c r="B28" s="149">
        <v>23</v>
      </c>
      <c r="C28" s="144">
        <v>26</v>
      </c>
      <c r="D28" s="152">
        <v>4</v>
      </c>
      <c r="E28" s="37">
        <v>0</v>
      </c>
      <c r="F28" s="107">
        <v>0</v>
      </c>
      <c r="G28" s="118">
        <v>0</v>
      </c>
      <c r="H28" s="153">
        <v>2</v>
      </c>
      <c r="I28" s="154">
        <v>0</v>
      </c>
      <c r="J28" s="76" t="s">
        <v>59</v>
      </c>
      <c r="K28" s="8"/>
      <c r="L28" s="158" t="s">
        <v>161</v>
      </c>
      <c r="M28" s="160">
        <v>2</v>
      </c>
      <c r="N28" s="108">
        <v>1</v>
      </c>
      <c r="O28" s="108">
        <v>1</v>
      </c>
      <c r="P28" s="162">
        <v>1</v>
      </c>
      <c r="Q28" s="24">
        <v>0</v>
      </c>
      <c r="R28" s="109">
        <v>0</v>
      </c>
      <c r="S28" s="123" t="s">
        <v>33</v>
      </c>
      <c r="T28" s="237">
        <v>4</v>
      </c>
      <c r="V28" s="34" t="s">
        <v>3</v>
      </c>
    </row>
    <row r="29" spans="2:22" ht="12" customHeight="1" x14ac:dyDescent="0.2">
      <c r="B29" s="149">
        <v>32</v>
      </c>
      <c r="C29" s="144">
        <v>23</v>
      </c>
      <c r="D29" s="152">
        <v>9</v>
      </c>
      <c r="E29" s="107">
        <v>0</v>
      </c>
      <c r="F29" s="107">
        <v>0</v>
      </c>
      <c r="G29" s="118">
        <v>0</v>
      </c>
      <c r="H29" s="153">
        <v>0</v>
      </c>
      <c r="I29" s="154">
        <v>0</v>
      </c>
      <c r="J29" s="76" t="s">
        <v>33</v>
      </c>
      <c r="K29" s="8"/>
      <c r="L29" s="218" t="s">
        <v>159</v>
      </c>
      <c r="M29" s="26">
        <v>1</v>
      </c>
      <c r="N29" s="21">
        <v>1</v>
      </c>
      <c r="O29" s="21">
        <v>1</v>
      </c>
      <c r="P29" s="163">
        <v>1</v>
      </c>
      <c r="Q29" s="14">
        <v>1</v>
      </c>
      <c r="R29" s="125">
        <v>1</v>
      </c>
      <c r="S29" s="123" t="s">
        <v>33</v>
      </c>
      <c r="T29" s="237">
        <v>11</v>
      </c>
    </row>
    <row r="30" spans="2:22" ht="12.75" customHeight="1" thickBot="1" x14ac:dyDescent="0.25">
      <c r="B30" s="150">
        <v>34</v>
      </c>
      <c r="C30" s="144">
        <v>4</v>
      </c>
      <c r="D30" s="152">
        <v>4</v>
      </c>
      <c r="E30" s="107">
        <v>0</v>
      </c>
      <c r="F30" s="107">
        <v>0</v>
      </c>
      <c r="G30" s="118">
        <v>0</v>
      </c>
      <c r="H30" s="153">
        <v>0</v>
      </c>
      <c r="I30" s="154">
        <v>0</v>
      </c>
      <c r="J30" s="76" t="s">
        <v>33</v>
      </c>
      <c r="K30" s="8"/>
      <c r="L30" s="158" t="s">
        <v>115</v>
      </c>
      <c r="M30" s="26">
        <v>1</v>
      </c>
      <c r="N30" s="108">
        <v>0</v>
      </c>
      <c r="O30" s="108">
        <v>0</v>
      </c>
      <c r="P30" s="162">
        <v>0</v>
      </c>
      <c r="Q30" s="24">
        <v>1</v>
      </c>
      <c r="R30" s="109">
        <v>0</v>
      </c>
      <c r="S30" s="123" t="s">
        <v>182</v>
      </c>
      <c r="T30" s="237">
        <v>3</v>
      </c>
    </row>
    <row r="31" spans="2:22" s="105" customFormat="1" ht="12.75" customHeight="1" x14ac:dyDescent="0.2">
      <c r="B31" s="149">
        <v>34</v>
      </c>
      <c r="C31" s="144">
        <v>16</v>
      </c>
      <c r="D31" s="152">
        <v>11</v>
      </c>
      <c r="E31" s="37">
        <v>0</v>
      </c>
      <c r="F31" s="107">
        <v>0</v>
      </c>
      <c r="G31" s="118">
        <v>0</v>
      </c>
      <c r="H31" s="153">
        <v>1</v>
      </c>
      <c r="I31" s="154">
        <v>0</v>
      </c>
      <c r="J31" s="76" t="s">
        <v>33</v>
      </c>
      <c r="K31" s="102"/>
      <c r="L31" s="232" t="s">
        <v>114</v>
      </c>
      <c r="M31" s="233" t="s">
        <v>181</v>
      </c>
      <c r="N31" s="231">
        <v>1</v>
      </c>
      <c r="O31" s="231">
        <v>1</v>
      </c>
      <c r="P31" s="234">
        <v>1</v>
      </c>
      <c r="Q31" s="235">
        <v>0</v>
      </c>
      <c r="R31" s="77">
        <v>0</v>
      </c>
      <c r="S31" s="236" t="s">
        <v>180</v>
      </c>
      <c r="T31" s="237">
        <v>8</v>
      </c>
    </row>
    <row r="32" spans="2:22" ht="12.75" thickBot="1" x14ac:dyDescent="0.25">
      <c r="B32" s="150">
        <v>41</v>
      </c>
      <c r="C32" s="144">
        <v>21</v>
      </c>
      <c r="D32" s="152">
        <v>6</v>
      </c>
      <c r="E32" s="107">
        <v>0</v>
      </c>
      <c r="F32" s="107">
        <v>0</v>
      </c>
      <c r="G32" s="118">
        <v>0</v>
      </c>
      <c r="H32" s="153">
        <v>0</v>
      </c>
      <c r="I32" s="154">
        <v>0</v>
      </c>
      <c r="J32" s="76" t="s">
        <v>33</v>
      </c>
      <c r="K32" s="8"/>
      <c r="L32" s="240"/>
      <c r="M32" s="239"/>
      <c r="N32" s="22"/>
      <c r="O32" s="22"/>
      <c r="P32" s="164"/>
      <c r="Q32" s="126"/>
      <c r="R32" s="23"/>
      <c r="S32" s="124"/>
      <c r="T32" s="238"/>
    </row>
    <row r="33" spans="2:19" ht="12.75" thickBot="1" x14ac:dyDescent="0.25">
      <c r="B33" s="149">
        <v>42</v>
      </c>
      <c r="C33" s="144">
        <v>24</v>
      </c>
      <c r="D33" s="152">
        <v>3</v>
      </c>
      <c r="E33" s="107">
        <v>0</v>
      </c>
      <c r="F33" s="107">
        <v>0</v>
      </c>
      <c r="G33" s="118">
        <v>0</v>
      </c>
      <c r="H33" s="153">
        <v>0</v>
      </c>
      <c r="I33" s="154">
        <v>0</v>
      </c>
      <c r="J33" s="76" t="s">
        <v>33</v>
      </c>
      <c r="K33" s="8"/>
      <c r="L33" s="476"/>
      <c r="M33" s="476"/>
      <c r="N33" s="476"/>
      <c r="O33" s="476"/>
      <c r="P33" s="476"/>
      <c r="Q33" s="85"/>
      <c r="R33" s="85"/>
      <c r="S33" s="84"/>
    </row>
    <row r="34" spans="2:19" ht="12.75" customHeight="1" thickBot="1" x14ac:dyDescent="0.25">
      <c r="B34" s="150">
        <v>43</v>
      </c>
      <c r="C34" s="144">
        <v>19</v>
      </c>
      <c r="D34" s="152">
        <v>9</v>
      </c>
      <c r="E34" s="37">
        <v>0</v>
      </c>
      <c r="F34" s="107">
        <v>0</v>
      </c>
      <c r="G34" s="118">
        <v>0</v>
      </c>
      <c r="H34" s="153">
        <v>0</v>
      </c>
      <c r="I34" s="154">
        <v>1</v>
      </c>
      <c r="J34" s="119" t="s">
        <v>33</v>
      </c>
      <c r="K34" s="1"/>
      <c r="L34" s="437" t="s">
        <v>30</v>
      </c>
      <c r="M34" s="438"/>
      <c r="N34" s="438"/>
      <c r="O34" s="438"/>
      <c r="P34" s="439"/>
      <c r="Q34" s="95"/>
      <c r="R34" s="95"/>
      <c r="S34" s="84"/>
    </row>
    <row r="35" spans="2:19" s="84" customFormat="1" x14ac:dyDescent="0.2">
      <c r="B35" s="149">
        <v>44</v>
      </c>
      <c r="C35" s="144">
        <v>30</v>
      </c>
      <c r="D35" s="152">
        <v>2</v>
      </c>
      <c r="E35" s="107">
        <v>0</v>
      </c>
      <c r="F35" s="107">
        <v>0</v>
      </c>
      <c r="G35" s="118">
        <v>0</v>
      </c>
      <c r="H35" s="153">
        <v>0</v>
      </c>
      <c r="I35" s="154">
        <v>0</v>
      </c>
      <c r="J35" s="76" t="s">
        <v>33</v>
      </c>
      <c r="K35" s="83"/>
      <c r="L35" s="474" t="s">
        <v>31</v>
      </c>
      <c r="M35" s="474" t="s">
        <v>90</v>
      </c>
      <c r="N35" s="474" t="s">
        <v>13</v>
      </c>
      <c r="O35" s="474" t="s">
        <v>32</v>
      </c>
      <c r="P35" s="474" t="s">
        <v>91</v>
      </c>
      <c r="Q35" s="95"/>
      <c r="R35" s="95"/>
    </row>
    <row r="36" spans="2:19" s="84" customFormat="1" ht="12.75" customHeight="1" thickBot="1" x14ac:dyDescent="0.25">
      <c r="B36" s="150">
        <v>51</v>
      </c>
      <c r="C36" s="144">
        <v>10</v>
      </c>
      <c r="D36" s="139">
        <v>7</v>
      </c>
      <c r="E36" s="107">
        <v>0</v>
      </c>
      <c r="F36" s="107">
        <v>0</v>
      </c>
      <c r="G36" s="118">
        <v>0</v>
      </c>
      <c r="H36" s="153">
        <v>0</v>
      </c>
      <c r="I36" s="154">
        <v>0</v>
      </c>
      <c r="J36" s="119" t="s">
        <v>33</v>
      </c>
      <c r="K36" s="1"/>
      <c r="L36" s="475"/>
      <c r="M36" s="475"/>
      <c r="N36" s="475"/>
      <c r="O36" s="475"/>
      <c r="P36" s="475"/>
      <c r="Q36" s="31"/>
      <c r="R36" s="31"/>
      <c r="S36" s="2"/>
    </row>
    <row r="37" spans="2:19" s="84" customFormat="1" ht="12.75" customHeight="1" x14ac:dyDescent="0.2">
      <c r="B37" s="150">
        <v>53</v>
      </c>
      <c r="C37" s="144">
        <v>24</v>
      </c>
      <c r="D37" s="139">
        <v>6</v>
      </c>
      <c r="E37" s="107">
        <v>0</v>
      </c>
      <c r="F37" s="107">
        <v>2</v>
      </c>
      <c r="G37" s="118">
        <v>1</v>
      </c>
      <c r="H37" s="153">
        <v>0</v>
      </c>
      <c r="I37" s="154">
        <v>1</v>
      </c>
      <c r="J37" s="119" t="s">
        <v>33</v>
      </c>
      <c r="K37" s="1"/>
      <c r="L37" s="223"/>
      <c r="M37" s="226">
        <v>2</v>
      </c>
      <c r="N37" s="226"/>
      <c r="O37" s="226"/>
      <c r="P37" s="226"/>
      <c r="Q37" s="31"/>
      <c r="R37" s="31"/>
      <c r="S37" s="2"/>
    </row>
    <row r="38" spans="2:19" ht="12.75" customHeight="1" x14ac:dyDescent="0.2">
      <c r="B38" s="149" t="s">
        <v>158</v>
      </c>
      <c r="C38" s="144">
        <v>10</v>
      </c>
      <c r="D38" s="152">
        <v>10</v>
      </c>
      <c r="E38" s="107">
        <v>0</v>
      </c>
      <c r="F38" s="107">
        <v>2</v>
      </c>
      <c r="G38" s="118">
        <v>0</v>
      </c>
      <c r="H38" s="153">
        <v>1</v>
      </c>
      <c r="I38" s="154">
        <v>0</v>
      </c>
      <c r="J38" s="76" t="s">
        <v>59</v>
      </c>
      <c r="K38" s="8"/>
      <c r="L38" s="224">
        <v>10</v>
      </c>
      <c r="N38" s="227">
        <v>1</v>
      </c>
      <c r="P38" s="227">
        <v>3</v>
      </c>
      <c r="Q38" s="31"/>
      <c r="R38" s="31"/>
      <c r="S38" s="2"/>
    </row>
    <row r="39" spans="2:19" ht="15.75" thickBot="1" x14ac:dyDescent="0.25">
      <c r="B39" s="149">
        <v>31</v>
      </c>
      <c r="C39" s="144">
        <v>24</v>
      </c>
      <c r="D39" s="152">
        <v>11</v>
      </c>
      <c r="E39" s="107">
        <v>0</v>
      </c>
      <c r="F39" s="107">
        <v>0</v>
      </c>
      <c r="G39" s="118">
        <v>0</v>
      </c>
      <c r="H39" s="153">
        <v>0</v>
      </c>
      <c r="I39" s="154">
        <v>0</v>
      </c>
      <c r="J39" s="76" t="s">
        <v>33</v>
      </c>
      <c r="K39" s="8"/>
      <c r="L39" s="225"/>
      <c r="M39" s="228"/>
      <c r="N39" s="228"/>
      <c r="O39" s="228">
        <v>2</v>
      </c>
      <c r="P39" s="228"/>
      <c r="Q39" s="31"/>
      <c r="R39" s="31"/>
      <c r="S39" s="2"/>
    </row>
    <row r="40" spans="2:19" ht="13.5" customHeight="1" thickBot="1" x14ac:dyDescent="0.25">
      <c r="B40" s="149">
        <v>33</v>
      </c>
      <c r="C40" s="144">
        <v>23</v>
      </c>
      <c r="D40" s="152">
        <v>18</v>
      </c>
      <c r="E40" s="107">
        <v>0</v>
      </c>
      <c r="F40" s="107">
        <v>0</v>
      </c>
      <c r="G40" s="118">
        <v>0</v>
      </c>
      <c r="H40" s="153">
        <v>0</v>
      </c>
      <c r="I40" s="154">
        <v>0</v>
      </c>
      <c r="J40" s="120" t="s">
        <v>33</v>
      </c>
      <c r="K40" s="8"/>
      <c r="L40" s="105"/>
      <c r="M40" s="31"/>
      <c r="N40" s="222"/>
      <c r="O40" s="222"/>
      <c r="P40" s="104"/>
      <c r="Q40" s="31"/>
      <c r="R40" s="31"/>
      <c r="S40" s="2"/>
    </row>
    <row r="41" spans="2:19" ht="13.5" customHeight="1" thickBot="1" x14ac:dyDescent="0.25">
      <c r="B41" s="149">
        <v>52</v>
      </c>
      <c r="C41" s="144">
        <v>24</v>
      </c>
      <c r="D41" s="152">
        <v>3</v>
      </c>
      <c r="E41" s="107">
        <v>4</v>
      </c>
      <c r="F41" s="107">
        <v>1</v>
      </c>
      <c r="G41" s="118">
        <v>1</v>
      </c>
      <c r="H41" s="153">
        <v>0</v>
      </c>
      <c r="I41" s="154">
        <v>0</v>
      </c>
      <c r="J41" s="76" t="s">
        <v>33</v>
      </c>
      <c r="K41" s="8"/>
      <c r="L41" s="452" t="s">
        <v>34</v>
      </c>
      <c r="M41" s="472"/>
      <c r="N41" s="472"/>
      <c r="O41" s="472"/>
      <c r="P41" s="473"/>
      <c r="Q41" s="85"/>
      <c r="S41" s="2"/>
    </row>
    <row r="42" spans="2:19" ht="24.75" thickBot="1" x14ac:dyDescent="0.25">
      <c r="B42" s="151">
        <v>54</v>
      </c>
      <c r="C42" s="147">
        <v>24</v>
      </c>
      <c r="D42" s="172">
        <v>7</v>
      </c>
      <c r="E42" s="141">
        <v>3</v>
      </c>
      <c r="F42" s="141">
        <v>2</v>
      </c>
      <c r="G42" s="142">
        <v>1</v>
      </c>
      <c r="H42" s="155">
        <v>0</v>
      </c>
      <c r="I42" s="110">
        <v>0</v>
      </c>
      <c r="J42" s="119" t="s">
        <v>33</v>
      </c>
      <c r="K42" s="8"/>
      <c r="L42" s="219" t="s">
        <v>31</v>
      </c>
      <c r="M42" s="220" t="s">
        <v>90</v>
      </c>
      <c r="N42" s="220" t="s">
        <v>13</v>
      </c>
      <c r="O42" s="220" t="s">
        <v>32</v>
      </c>
      <c r="P42" s="221" t="s">
        <v>91</v>
      </c>
      <c r="Q42" s="85"/>
      <c r="S42" s="2"/>
    </row>
    <row r="43" spans="2:19" ht="12" customHeight="1" thickBot="1" x14ac:dyDescent="0.25">
      <c r="B43" s="137" t="s">
        <v>24</v>
      </c>
      <c r="C43" s="121"/>
      <c r="D43" s="121"/>
      <c r="E43" s="138">
        <v>0</v>
      </c>
      <c r="F43" s="121"/>
      <c r="G43" s="121"/>
      <c r="H43" s="121"/>
      <c r="I43" s="121"/>
      <c r="J43" s="81"/>
      <c r="K43" s="8"/>
      <c r="L43" s="229">
        <v>5</v>
      </c>
      <c r="M43" s="229">
        <v>0</v>
      </c>
      <c r="N43" s="229"/>
      <c r="O43" s="229">
        <v>1</v>
      </c>
      <c r="P43" s="229"/>
      <c r="Q43" s="85"/>
    </row>
    <row r="44" spans="2:19" ht="12.95" customHeight="1" thickBot="1" x14ac:dyDescent="0.25">
      <c r="B44" s="28" t="s">
        <v>11</v>
      </c>
      <c r="C44" s="29">
        <f t="shared" ref="C44:I44" si="0">SUM(C19:C42)</f>
        <v>458</v>
      </c>
      <c r="D44" s="30">
        <f t="shared" si="0"/>
        <v>132</v>
      </c>
      <c r="E44" s="30">
        <f>SUM(E19:E43)</f>
        <v>7</v>
      </c>
      <c r="F44" s="30">
        <f t="shared" si="0"/>
        <v>8</v>
      </c>
      <c r="G44" s="30">
        <f>SUM(G19:G42)</f>
        <v>4</v>
      </c>
      <c r="H44" s="30">
        <f t="shared" si="0"/>
        <v>6</v>
      </c>
      <c r="I44" s="30">
        <f t="shared" si="0"/>
        <v>3</v>
      </c>
      <c r="J44" s="80"/>
      <c r="K44" s="8"/>
      <c r="L44" s="230"/>
      <c r="M44" s="230"/>
      <c r="N44" s="230">
        <v>2</v>
      </c>
      <c r="O44" s="230"/>
      <c r="P44" s="230">
        <v>2</v>
      </c>
      <c r="Q44" s="85"/>
      <c r="R44" s="85"/>
      <c r="S44" s="85"/>
    </row>
    <row r="45" spans="2:19" ht="17.100000000000001" customHeight="1" thickBot="1" x14ac:dyDescent="0.25">
      <c r="B45" s="463" t="s">
        <v>83</v>
      </c>
      <c r="C45" s="464"/>
      <c r="D45" s="94"/>
      <c r="E45" s="82">
        <v>2</v>
      </c>
      <c r="F45" s="38"/>
      <c r="G45" s="38"/>
      <c r="H45" s="5"/>
      <c r="I45" s="38"/>
      <c r="J45" s="38"/>
      <c r="N45" s="201"/>
      <c r="O45" s="201"/>
      <c r="P45" s="201"/>
      <c r="Q45" s="85"/>
      <c r="R45" s="85"/>
      <c r="S45" s="85"/>
    </row>
    <row r="46" spans="2:19" ht="14.25" customHeight="1" x14ac:dyDescent="0.2">
      <c r="B46" s="39"/>
      <c r="C46" s="5"/>
      <c r="D46" s="8"/>
      <c r="E46" s="8"/>
      <c r="F46" s="6"/>
      <c r="G46" s="8"/>
      <c r="H46" s="31"/>
      <c r="I46" s="5"/>
      <c r="J46" s="8"/>
      <c r="K46" s="8"/>
      <c r="L46" s="201"/>
      <c r="M46" s="201"/>
      <c r="N46" s="201"/>
      <c r="O46" s="201"/>
      <c r="P46" s="201"/>
      <c r="Q46" s="102"/>
      <c r="R46" s="102"/>
      <c r="S46" s="102"/>
    </row>
    <row r="47" spans="2:19" ht="43.5" customHeight="1" x14ac:dyDescent="0.2">
      <c r="B47" s="206" t="s">
        <v>109</v>
      </c>
      <c r="C47" s="207">
        <f>C20+C27+C28+C29+C31+C33+C35+C38+C39+C40+C41+C42+T27+T28+T30+T31</f>
        <v>273</v>
      </c>
      <c r="D47" s="206" t="s">
        <v>107</v>
      </c>
      <c r="E47" s="266">
        <f>D20+D27+D28+D29+D31+D33+D35+D38+D39+D40+D41+D42+M27+M28+M30+M31</f>
        <v>90</v>
      </c>
      <c r="F47" s="206" t="s">
        <v>106</v>
      </c>
      <c r="G47" s="208">
        <f>(C47-E47)/C47</f>
        <v>0.67032967032967028</v>
      </c>
      <c r="H47" s="209" t="s">
        <v>111</v>
      </c>
      <c r="I47" s="208">
        <f>((C20+C38)-(D20+D38))/(C20+C38)</f>
        <v>0.27272727272727271</v>
      </c>
      <c r="J47" s="215"/>
      <c r="K47" s="8"/>
      <c r="L47" s="213" t="s">
        <v>112</v>
      </c>
      <c r="M47" s="208">
        <f>(C19-D19)/C19</f>
        <v>0.64864864864864868</v>
      </c>
      <c r="N47" s="201"/>
      <c r="O47" s="201"/>
      <c r="P47" s="201"/>
      <c r="Q47" s="102"/>
      <c r="R47" s="102"/>
      <c r="S47" s="102"/>
    </row>
    <row r="48" spans="2:19" s="105" customFormat="1" ht="36.75" customHeight="1" x14ac:dyDescent="0.2">
      <c r="B48" s="210" t="s">
        <v>110</v>
      </c>
      <c r="C48" s="211">
        <f>C19+C26+C36+C37+C30+C32+T26+T29+C34</f>
        <v>158</v>
      </c>
      <c r="D48" s="210" t="s">
        <v>108</v>
      </c>
      <c r="E48" s="212">
        <f>D19+D26+D36+D37+D30+D32+M26+M29+D34</f>
        <v>48</v>
      </c>
      <c r="F48" s="213" t="s">
        <v>113</v>
      </c>
      <c r="G48" s="212">
        <f>C48-E48</f>
        <v>110</v>
      </c>
      <c r="H48" s="210" t="s">
        <v>105</v>
      </c>
      <c r="I48" s="214">
        <f>(C48-E48)/C48</f>
        <v>0.69620253164556967</v>
      </c>
      <c r="J48" s="216"/>
      <c r="L48" s="217"/>
      <c r="M48" s="202"/>
      <c r="N48" s="201"/>
      <c r="O48" s="201"/>
      <c r="P48" s="201"/>
    </row>
    <row r="49" spans="2:20" s="105" customFormat="1" ht="12.75" thickBot="1" x14ac:dyDescent="0.25">
      <c r="B49" s="204"/>
      <c r="C49" s="203"/>
      <c r="D49" s="203"/>
      <c r="E49" s="205"/>
      <c r="H49" s="205"/>
      <c r="I49" s="205"/>
      <c r="J49" s="31"/>
      <c r="K49" s="102"/>
    </row>
    <row r="50" spans="2:20" s="105" customFormat="1" ht="12.75" thickBot="1" x14ac:dyDescent="0.25">
      <c r="L50" s="458" t="s">
        <v>23</v>
      </c>
      <c r="M50" s="459"/>
      <c r="N50" s="459"/>
      <c r="O50" s="459"/>
      <c r="P50" s="460"/>
      <c r="Q50" s="96"/>
      <c r="R50" s="96"/>
      <c r="S50" s="85"/>
    </row>
    <row r="51" spans="2:20" s="105" customFormat="1" ht="39" thickBot="1" x14ac:dyDescent="0.25">
      <c r="B51" s="127" t="s">
        <v>5</v>
      </c>
      <c r="C51" s="128" t="s">
        <v>22</v>
      </c>
      <c r="D51" s="129" t="s">
        <v>89</v>
      </c>
      <c r="E51" s="130" t="s">
        <v>85</v>
      </c>
      <c r="F51" s="128" t="s">
        <v>96</v>
      </c>
      <c r="G51" s="130" t="s">
        <v>86</v>
      </c>
      <c r="H51" s="116" t="s">
        <v>27</v>
      </c>
      <c r="I51" s="131" t="s">
        <v>28</v>
      </c>
      <c r="J51" s="132" t="s">
        <v>20</v>
      </c>
      <c r="L51" s="99" t="s">
        <v>5</v>
      </c>
      <c r="M51" s="461" t="s">
        <v>7</v>
      </c>
      <c r="N51" s="461"/>
      <c r="O51" s="461" t="s">
        <v>71</v>
      </c>
      <c r="P51" s="462"/>
      <c r="Q51" s="96"/>
      <c r="R51" s="96"/>
      <c r="S51" s="85"/>
    </row>
    <row r="52" spans="2:20" ht="24" customHeight="1" x14ac:dyDescent="0.2">
      <c r="B52" s="181" t="s">
        <v>99</v>
      </c>
      <c r="C52" s="86">
        <v>9</v>
      </c>
      <c r="D52" s="115">
        <v>8</v>
      </c>
      <c r="E52" s="37">
        <v>0</v>
      </c>
      <c r="F52" s="37">
        <v>0</v>
      </c>
      <c r="G52" s="117">
        <v>0</v>
      </c>
      <c r="H52" s="145">
        <v>1</v>
      </c>
      <c r="I52" s="146">
        <v>0</v>
      </c>
      <c r="J52" s="75" t="s">
        <v>59</v>
      </c>
      <c r="L52" s="174" t="s">
        <v>172</v>
      </c>
      <c r="M52" s="175">
        <v>5</v>
      </c>
      <c r="N52" s="175">
        <v>5</v>
      </c>
      <c r="O52" s="175">
        <v>2</v>
      </c>
      <c r="P52" s="176">
        <v>2</v>
      </c>
      <c r="Q52" s="97"/>
      <c r="R52" s="97"/>
    </row>
    <row r="53" spans="2:20" ht="24" customHeight="1" x14ac:dyDescent="0.2">
      <c r="B53" s="182" t="s">
        <v>100</v>
      </c>
      <c r="C53" s="87">
        <v>4</v>
      </c>
      <c r="D53" s="115">
        <v>4</v>
      </c>
      <c r="E53" s="107">
        <v>0</v>
      </c>
      <c r="F53" s="107">
        <v>1</v>
      </c>
      <c r="G53" s="118">
        <v>1</v>
      </c>
      <c r="H53" s="153">
        <v>0</v>
      </c>
      <c r="I53" s="154">
        <v>0</v>
      </c>
      <c r="J53" s="76" t="s">
        <v>33</v>
      </c>
      <c r="L53" s="174" t="s">
        <v>173</v>
      </c>
      <c r="M53" s="175">
        <v>10</v>
      </c>
      <c r="N53" s="175">
        <v>10</v>
      </c>
      <c r="O53" s="175">
        <v>1</v>
      </c>
      <c r="P53" s="176">
        <v>1</v>
      </c>
      <c r="Q53" s="31"/>
      <c r="R53" s="31"/>
    </row>
    <row r="54" spans="2:20" ht="24" customHeight="1" thickBot="1" x14ac:dyDescent="0.25">
      <c r="B54" s="182" t="s">
        <v>25</v>
      </c>
      <c r="C54" s="87">
        <v>11</v>
      </c>
      <c r="D54" s="115">
        <v>11</v>
      </c>
      <c r="E54" s="107">
        <v>0</v>
      </c>
      <c r="F54" s="107">
        <v>0</v>
      </c>
      <c r="G54" s="118">
        <v>0</v>
      </c>
      <c r="H54" s="153">
        <v>0</v>
      </c>
      <c r="I54" s="154">
        <v>0</v>
      </c>
      <c r="J54" s="76" t="s">
        <v>33</v>
      </c>
      <c r="L54" s="174" t="s">
        <v>174</v>
      </c>
      <c r="M54" s="175">
        <v>6</v>
      </c>
      <c r="N54" s="175">
        <v>6</v>
      </c>
      <c r="O54" s="175">
        <v>2</v>
      </c>
      <c r="P54" s="176">
        <v>2</v>
      </c>
      <c r="Q54" s="31"/>
      <c r="R54" s="31"/>
      <c r="S54" s="74"/>
      <c r="T54" s="105" t="s">
        <v>3</v>
      </c>
    </row>
    <row r="55" spans="2:20" ht="24" customHeight="1" thickBot="1" x14ac:dyDescent="0.25">
      <c r="B55" s="183" t="s">
        <v>99</v>
      </c>
      <c r="C55" s="87">
        <v>10</v>
      </c>
      <c r="D55" s="115">
        <v>4</v>
      </c>
      <c r="E55" s="37">
        <v>0</v>
      </c>
      <c r="F55" s="107">
        <v>0</v>
      </c>
      <c r="G55" s="118">
        <v>0</v>
      </c>
      <c r="H55" s="153">
        <v>0</v>
      </c>
      <c r="I55" s="154">
        <v>0</v>
      </c>
      <c r="J55" s="76" t="s">
        <v>33</v>
      </c>
      <c r="L55" s="174" t="s">
        <v>175</v>
      </c>
      <c r="M55" s="178">
        <v>8</v>
      </c>
      <c r="N55" s="178">
        <v>8</v>
      </c>
      <c r="O55" s="178">
        <v>2</v>
      </c>
      <c r="P55" s="179">
        <v>2</v>
      </c>
      <c r="Q55" s="31"/>
      <c r="R55" s="31"/>
      <c r="S55" s="105"/>
    </row>
    <row r="56" spans="2:20" s="74" customFormat="1" ht="24" customHeight="1" x14ac:dyDescent="0.2">
      <c r="B56" s="183" t="s">
        <v>100</v>
      </c>
      <c r="C56" s="87">
        <v>3</v>
      </c>
      <c r="D56" s="115">
        <v>2</v>
      </c>
      <c r="E56" s="107">
        <v>0</v>
      </c>
      <c r="F56" s="107">
        <v>0</v>
      </c>
      <c r="G56" s="118">
        <v>0</v>
      </c>
      <c r="H56" s="153">
        <v>0</v>
      </c>
      <c r="I56" s="154">
        <v>0</v>
      </c>
      <c r="J56" s="76" t="s">
        <v>33</v>
      </c>
      <c r="L56" s="267"/>
      <c r="M56" s="267"/>
      <c r="N56" s="267"/>
      <c r="O56" s="267"/>
      <c r="P56" s="267"/>
      <c r="Q56" s="31"/>
      <c r="R56" s="31"/>
      <c r="S56" s="105"/>
      <c r="T56" s="105" t="s">
        <v>3</v>
      </c>
    </row>
    <row r="57" spans="2:20" s="105" customFormat="1" ht="24" customHeight="1" thickBot="1" x14ac:dyDescent="0.3">
      <c r="B57" s="183" t="s">
        <v>116</v>
      </c>
      <c r="C57" s="87">
        <v>3</v>
      </c>
      <c r="D57" s="115">
        <v>2</v>
      </c>
      <c r="E57" s="107">
        <v>0</v>
      </c>
      <c r="F57" s="107">
        <v>0</v>
      </c>
      <c r="G57" s="118">
        <v>0</v>
      </c>
      <c r="H57" s="153">
        <v>0</v>
      </c>
      <c r="I57" s="154">
        <v>0</v>
      </c>
      <c r="J57" s="76" t="s">
        <v>33</v>
      </c>
      <c r="L57" s="192"/>
      <c r="M57" s="192"/>
      <c r="N57" s="192"/>
      <c r="O57" s="192"/>
      <c r="P57" s="192"/>
      <c r="Q57" s="31"/>
      <c r="R57" s="31"/>
    </row>
    <row r="58" spans="2:20" s="105" customFormat="1" ht="24" customHeight="1" x14ac:dyDescent="0.25">
      <c r="B58" s="183" t="s">
        <v>25</v>
      </c>
      <c r="C58" s="87">
        <v>13</v>
      </c>
      <c r="D58" s="115">
        <v>3</v>
      </c>
      <c r="E58" s="37">
        <v>0</v>
      </c>
      <c r="F58" s="107">
        <v>0</v>
      </c>
      <c r="G58" s="118">
        <v>0</v>
      </c>
      <c r="H58" s="153">
        <v>0</v>
      </c>
      <c r="I58" s="154">
        <v>0</v>
      </c>
      <c r="J58" s="76" t="s">
        <v>33</v>
      </c>
      <c r="L58" s="192"/>
      <c r="M58" s="192"/>
      <c r="N58" s="192"/>
      <c r="O58" s="192"/>
      <c r="P58" s="192"/>
      <c r="Q58" s="31"/>
      <c r="R58" s="31"/>
    </row>
    <row r="59" spans="2:20" s="105" customFormat="1" ht="24" customHeight="1" x14ac:dyDescent="0.25">
      <c r="B59" s="184" t="s">
        <v>101</v>
      </c>
      <c r="C59" s="87">
        <v>18</v>
      </c>
      <c r="D59" s="133">
        <v>12</v>
      </c>
      <c r="E59" s="107">
        <v>0</v>
      </c>
      <c r="F59" s="107">
        <v>0</v>
      </c>
      <c r="G59" s="118">
        <v>0</v>
      </c>
      <c r="H59" s="153">
        <v>1</v>
      </c>
      <c r="I59" s="154">
        <v>1</v>
      </c>
      <c r="J59" s="76" t="s">
        <v>33</v>
      </c>
      <c r="L59" s="192"/>
      <c r="M59" s="192"/>
      <c r="N59" s="192"/>
      <c r="O59" s="192"/>
      <c r="P59" s="192"/>
      <c r="Q59" s="31"/>
      <c r="R59" s="31"/>
      <c r="S59" s="32"/>
    </row>
    <row r="60" spans="2:20" s="105" customFormat="1" ht="24" customHeight="1" thickBot="1" x14ac:dyDescent="0.25">
      <c r="B60" s="185" t="s">
        <v>101</v>
      </c>
      <c r="C60" s="88">
        <v>8</v>
      </c>
      <c r="D60" s="133">
        <v>7</v>
      </c>
      <c r="E60" s="107">
        <v>0</v>
      </c>
      <c r="F60" s="107">
        <v>0</v>
      </c>
      <c r="G60" s="118">
        <v>0</v>
      </c>
      <c r="H60" s="153">
        <v>0</v>
      </c>
      <c r="I60" s="154">
        <v>0</v>
      </c>
      <c r="J60" s="76" t="s">
        <v>33</v>
      </c>
      <c r="L60" s="97"/>
      <c r="M60" s="97"/>
      <c r="N60" s="97"/>
      <c r="O60" s="97"/>
      <c r="P60" s="97"/>
      <c r="Q60" s="31"/>
      <c r="R60" s="31"/>
      <c r="S60" s="3"/>
    </row>
    <row r="61" spans="2:20" s="33" customFormat="1" ht="24" customHeight="1" x14ac:dyDescent="0.2">
      <c r="B61" s="186" t="s">
        <v>26</v>
      </c>
      <c r="C61" s="88">
        <v>17</v>
      </c>
      <c r="D61" s="133">
        <v>11</v>
      </c>
      <c r="E61" s="37">
        <v>0</v>
      </c>
      <c r="F61" s="107">
        <v>0</v>
      </c>
      <c r="G61" s="118">
        <v>0</v>
      </c>
      <c r="H61" s="153">
        <v>2</v>
      </c>
      <c r="I61" s="154">
        <v>0</v>
      </c>
      <c r="J61" s="76" t="s">
        <v>59</v>
      </c>
      <c r="K61" s="32"/>
      <c r="L61" s="97"/>
      <c r="M61" s="97"/>
      <c r="N61" s="97"/>
      <c r="O61" s="97"/>
      <c r="P61" s="97"/>
      <c r="Q61" s="3"/>
      <c r="R61" s="3"/>
      <c r="S61" s="3"/>
      <c r="T61" s="105" t="s">
        <v>3</v>
      </c>
    </row>
    <row r="62" spans="2:20" ht="24" customHeight="1" thickBot="1" x14ac:dyDescent="0.25">
      <c r="B62" s="185" t="s">
        <v>26</v>
      </c>
      <c r="C62" s="88">
        <v>3</v>
      </c>
      <c r="D62" s="133">
        <v>3</v>
      </c>
      <c r="E62" s="107">
        <v>0</v>
      </c>
      <c r="F62" s="107">
        <v>0</v>
      </c>
      <c r="G62" s="118">
        <v>0</v>
      </c>
      <c r="H62" s="153">
        <v>0</v>
      </c>
      <c r="I62" s="154">
        <v>0</v>
      </c>
      <c r="J62" s="76" t="s">
        <v>33</v>
      </c>
      <c r="M62" s="33" t="s">
        <v>3</v>
      </c>
      <c r="Q62" s="105" t="s">
        <v>3</v>
      </c>
    </row>
    <row r="63" spans="2:20" ht="15.75" customHeight="1" thickBot="1" x14ac:dyDescent="0.25">
      <c r="B63" s="28" t="s">
        <v>11</v>
      </c>
      <c r="C63" s="78"/>
      <c r="D63" s="30">
        <f t="shared" ref="D63:I63" si="1">SUM(D52:D62)</f>
        <v>67</v>
      </c>
      <c r="E63" s="30">
        <f t="shared" si="1"/>
        <v>0</v>
      </c>
      <c r="F63" s="30">
        <f t="shared" si="1"/>
        <v>1</v>
      </c>
      <c r="G63" s="30">
        <f t="shared" si="1"/>
        <v>1</v>
      </c>
      <c r="H63" s="30">
        <f t="shared" si="1"/>
        <v>4</v>
      </c>
      <c r="I63" s="30">
        <f t="shared" si="1"/>
        <v>1</v>
      </c>
      <c r="J63" s="80"/>
    </row>
    <row r="64" spans="2:20" x14ac:dyDescent="0.2">
      <c r="I64" s="4"/>
    </row>
    <row r="67" spans="5:14" x14ac:dyDescent="0.2">
      <c r="E67" s="74" t="s">
        <v>3</v>
      </c>
    </row>
    <row r="68" spans="5:14" x14ac:dyDescent="0.2">
      <c r="N68" s="105" t="s">
        <v>3</v>
      </c>
    </row>
  </sheetData>
  <sheetProtection selectLockedCells="1"/>
  <mergeCells count="49">
    <mergeCell ref="B11:D11"/>
    <mergeCell ref="B2:S2"/>
    <mergeCell ref="K7:M7"/>
    <mergeCell ref="K8:M8"/>
    <mergeCell ref="B9:D9"/>
    <mergeCell ref="K9:M9"/>
    <mergeCell ref="B7:D7"/>
    <mergeCell ref="B8:D8"/>
    <mergeCell ref="C4:D4"/>
    <mergeCell ref="B10:D10"/>
    <mergeCell ref="K10:M10"/>
    <mergeCell ref="K11:M11"/>
    <mergeCell ref="B12:D12"/>
    <mergeCell ref="K12:M12"/>
    <mergeCell ref="B14:D14"/>
    <mergeCell ref="B17:J17"/>
    <mergeCell ref="B13:D13"/>
    <mergeCell ref="K13:M13"/>
    <mergeCell ref="L17:S17"/>
    <mergeCell ref="P19:P21"/>
    <mergeCell ref="B45:C45"/>
    <mergeCell ref="L33:P33"/>
    <mergeCell ref="L22:S22"/>
    <mergeCell ref="T23:T25"/>
    <mergeCell ref="S19:S21"/>
    <mergeCell ref="R23:R25"/>
    <mergeCell ref="P23:P25"/>
    <mergeCell ref="R19:R21"/>
    <mergeCell ref="L19:L21"/>
    <mergeCell ref="Q19:Q21"/>
    <mergeCell ref="M19:M21"/>
    <mergeCell ref="N19:N21"/>
    <mergeCell ref="O19:O21"/>
    <mergeCell ref="L50:P50"/>
    <mergeCell ref="S23:S25"/>
    <mergeCell ref="L23:L25"/>
    <mergeCell ref="M51:N51"/>
    <mergeCell ref="O51:P51"/>
    <mergeCell ref="Q23:Q25"/>
    <mergeCell ref="L34:P34"/>
    <mergeCell ref="L41:P41"/>
    <mergeCell ref="L35:L36"/>
    <mergeCell ref="M35:M36"/>
    <mergeCell ref="N35:N36"/>
    <mergeCell ref="O35:O36"/>
    <mergeCell ref="P35:P36"/>
    <mergeCell ref="M23:M25"/>
    <mergeCell ref="N23:N25"/>
    <mergeCell ref="O23:O25"/>
  </mergeCells>
  <phoneticPr fontId="8" type="noConversion"/>
  <conditionalFormatting sqref="P37:P40">
    <cfRule type="cellIs" dxfId="49" priority="83" operator="greaterThanOrEqual">
      <formula>1</formula>
    </cfRule>
  </conditionalFormatting>
  <conditionalFormatting sqref="S19:S21 J19:J43 J45:J47 J49 S26:S32">
    <cfRule type="containsText" dxfId="48" priority="85" operator="containsText" text="N">
      <formula>NOT(ISERROR(SEARCH("N",J19)))</formula>
    </cfRule>
    <cfRule type="containsText" dxfId="47" priority="86" operator="containsText" text="Y">
      <formula>NOT(ISERROR(SEARCH("Y",J19)))</formula>
    </cfRule>
    <cfRule type="containsText" dxfId="46" priority="97" operator="containsText" text="n">
      <formula>NOT(ISERROR(SEARCH("n",J19)))</formula>
    </cfRule>
    <cfRule type="containsText" dxfId="45" priority="98" operator="containsText" text="y">
      <formula>NOT(ISERROR(SEARCH("y",J19)))</formula>
    </cfRule>
  </conditionalFormatting>
  <conditionalFormatting sqref="Q19:R21 H43 I19:I43 H19:H41 H26:I26 Q26:R28 H45:H46 I46 H49:I49 Q30:R32">
    <cfRule type="cellIs" dxfId="44" priority="81" operator="between">
      <formula>1</formula>
      <formula>9</formula>
    </cfRule>
  </conditionalFormatting>
  <conditionalFormatting sqref="P19:P21">
    <cfRule type="cellIs" dxfId="43" priority="65" operator="greaterThan">
      <formula>0</formula>
    </cfRule>
  </conditionalFormatting>
  <conditionalFormatting sqref="O19:O21">
    <cfRule type="cellIs" dxfId="42" priority="64" operator="greaterThan">
      <formula>0</formula>
    </cfRule>
  </conditionalFormatting>
  <conditionalFormatting sqref="P19:P21">
    <cfRule type="cellIs" dxfId="41" priority="7" operator="greaterThan">
      <formula>0</formula>
    </cfRule>
  </conditionalFormatting>
  <conditionalFormatting sqref="O19:O21">
    <cfRule type="cellIs" dxfId="40" priority="6" operator="greaterThan">
      <formula>0</formula>
    </cfRule>
  </conditionalFormatting>
  <conditionalFormatting sqref="J52:J62">
    <cfRule type="containsText" dxfId="39" priority="2" operator="containsText" text="N">
      <formula>NOT(ISERROR(SEARCH("N",J52)))</formula>
    </cfRule>
    <cfRule type="containsText" dxfId="38" priority="3" operator="containsText" text="Y">
      <formula>NOT(ISERROR(SEARCH("Y",J52)))</formula>
    </cfRule>
    <cfRule type="containsText" dxfId="37" priority="4" operator="containsText" text="n">
      <formula>NOT(ISERROR(SEARCH("n",J52)))</formula>
    </cfRule>
    <cfRule type="containsText" dxfId="36" priority="5" operator="containsText" text="y">
      <formula>NOT(ISERROR(SEARCH("y",J52)))</formula>
    </cfRule>
  </conditionalFormatting>
  <conditionalFormatting sqref="H52:I62">
    <cfRule type="cellIs" dxfId="35" priority="1" operator="between">
      <formula>1</formula>
      <formula>9</formula>
    </cfRule>
  </conditionalFormatting>
  <pageMargins left="0.74803149606299213" right="0.74803149606299213" top="0.98425196850393704" bottom="0.98425196850393704" header="0.51181102362204722" footer="0.51181102362204722"/>
  <pageSetup paperSize="9" scale="57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B1:P66"/>
  <sheetViews>
    <sheetView showGridLines="0" topLeftCell="A37" zoomScaleNormal="100" workbookViewId="0">
      <selection activeCell="M53" sqref="M53"/>
    </sheetView>
  </sheetViews>
  <sheetFormatPr defaultColWidth="9.140625" defaultRowHeight="12" x14ac:dyDescent="0.2"/>
  <cols>
    <col min="1" max="1" width="1.7109375" style="105" customWidth="1"/>
    <col min="2" max="2" width="14.28515625" style="105" customWidth="1"/>
    <col min="3" max="4" width="10.5703125" style="105" customWidth="1"/>
    <col min="5" max="5" width="10.42578125" style="105" customWidth="1"/>
    <col min="6" max="6" width="10" style="105" customWidth="1"/>
    <col min="7" max="7" width="10.42578125" style="105" customWidth="1"/>
    <col min="8" max="8" width="1.42578125" style="105" customWidth="1"/>
    <col min="9" max="9" width="17.28515625" style="105" customWidth="1"/>
    <col min="10" max="10" width="11.140625" style="105" customWidth="1"/>
    <col min="11" max="11" width="12.42578125" style="105" customWidth="1"/>
    <col min="12" max="12" width="12.28515625" style="105" customWidth="1"/>
    <col min="13" max="13" width="10.85546875" style="105" customWidth="1"/>
    <col min="14" max="14" width="11" style="105" customWidth="1"/>
    <col min="15" max="16384" width="9.140625" style="105"/>
  </cols>
  <sheetData>
    <row r="1" spans="2:13" ht="12.75" thickBot="1" x14ac:dyDescent="0.25"/>
    <row r="2" spans="2:13" ht="37.5" customHeight="1" thickBot="1" x14ac:dyDescent="0.25">
      <c r="B2" s="403" t="s">
        <v>92</v>
      </c>
      <c r="C2" s="404"/>
      <c r="D2" s="404"/>
      <c r="E2" s="404"/>
      <c r="F2" s="404"/>
      <c r="G2" s="404"/>
      <c r="H2" s="404"/>
      <c r="I2" s="404"/>
      <c r="J2" s="404"/>
      <c r="K2" s="404"/>
      <c r="L2" s="404"/>
      <c r="M2" s="404"/>
    </row>
    <row r="3" spans="2:13" s="102" customFormat="1" ht="11.25" customHeight="1" thickBot="1" x14ac:dyDescent="0.25">
      <c r="B3" s="112"/>
      <c r="C3" s="112"/>
      <c r="D3" s="112"/>
      <c r="E3" s="10"/>
      <c r="F3" s="10"/>
      <c r="G3" s="10"/>
      <c r="H3" s="10"/>
      <c r="I3" s="10"/>
      <c r="J3" s="10"/>
      <c r="K3" s="10"/>
      <c r="L3" s="10"/>
      <c r="M3" s="10"/>
    </row>
    <row r="4" spans="2:13" s="102" customFormat="1" ht="21" customHeight="1" thickBot="1" x14ac:dyDescent="0.25">
      <c r="B4" s="114" t="s">
        <v>21</v>
      </c>
      <c r="C4" s="406"/>
      <c r="D4" s="407"/>
      <c r="E4" s="113"/>
      <c r="F4" s="114" t="s">
        <v>0</v>
      </c>
      <c r="G4" s="134">
        <v>0.54166666666666663</v>
      </c>
      <c r="H4" s="10"/>
      <c r="I4" s="10"/>
      <c r="J4" s="10"/>
      <c r="K4" s="10"/>
      <c r="L4" s="10"/>
      <c r="M4" s="10"/>
    </row>
    <row r="5" spans="2:13" s="102" customFormat="1" ht="21" customHeight="1" x14ac:dyDescent="0.2"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2:13" ht="12.75" thickBot="1" x14ac:dyDescent="0.25"/>
    <row r="7" spans="2:13" ht="20.25" customHeight="1" x14ac:dyDescent="0.2">
      <c r="B7" s="495" t="s">
        <v>8</v>
      </c>
      <c r="C7" s="496"/>
      <c r="D7" s="496"/>
      <c r="E7" s="193">
        <f>SUM(E19:E43)</f>
        <v>0</v>
      </c>
      <c r="F7" s="102"/>
      <c r="G7" s="156"/>
      <c r="H7" s="410"/>
      <c r="I7" s="410"/>
      <c r="J7" s="410"/>
      <c r="K7" s="9"/>
      <c r="M7" s="105" t="s">
        <v>3</v>
      </c>
    </row>
    <row r="8" spans="2:13" ht="20.25" customHeight="1" x14ac:dyDescent="0.2">
      <c r="B8" s="411" t="s">
        <v>9</v>
      </c>
      <c r="C8" s="412"/>
      <c r="D8" s="412"/>
      <c r="E8" s="194">
        <f>('0830'!E8)</f>
        <v>4</v>
      </c>
      <c r="F8" s="13"/>
      <c r="G8" s="156"/>
      <c r="H8" s="410"/>
      <c r="I8" s="410"/>
      <c r="J8" s="410"/>
      <c r="K8" s="9"/>
    </row>
    <row r="9" spans="2:13" ht="20.25" customHeight="1" x14ac:dyDescent="0.2">
      <c r="B9" s="411" t="s">
        <v>10</v>
      </c>
      <c r="C9" s="412"/>
      <c r="D9" s="412"/>
      <c r="E9" s="195">
        <f>(E7+E8)</f>
        <v>4</v>
      </c>
      <c r="F9" s="13"/>
      <c r="G9" s="156"/>
      <c r="H9" s="410"/>
      <c r="I9" s="410"/>
      <c r="J9" s="410"/>
      <c r="K9" s="9"/>
    </row>
    <row r="10" spans="2:13" ht="20.25" customHeight="1" x14ac:dyDescent="0.2">
      <c r="B10" s="411" t="s">
        <v>104</v>
      </c>
      <c r="C10" s="412"/>
      <c r="D10" s="412"/>
      <c r="E10" s="196"/>
      <c r="F10" s="102"/>
      <c r="G10" s="156"/>
      <c r="H10" s="410"/>
      <c r="I10" s="410"/>
      <c r="J10" s="410"/>
      <c r="K10" s="9"/>
      <c r="L10" s="102"/>
      <c r="M10" s="102"/>
    </row>
    <row r="11" spans="2:13" ht="20.25" customHeight="1" x14ac:dyDescent="0.2">
      <c r="B11" s="411" t="s">
        <v>1</v>
      </c>
      <c r="C11" s="412"/>
      <c r="D11" s="412"/>
      <c r="E11" s="197">
        <f>(E8-E9)</f>
        <v>0</v>
      </c>
      <c r="F11" s="102"/>
      <c r="G11" s="156"/>
      <c r="H11" s="410"/>
      <c r="I11" s="410"/>
      <c r="J11" s="410"/>
      <c r="K11" s="9"/>
      <c r="L11" s="102"/>
      <c r="M11" s="102"/>
    </row>
    <row r="12" spans="2:13" ht="20.25" customHeight="1" x14ac:dyDescent="0.2">
      <c r="B12" s="411" t="s">
        <v>4</v>
      </c>
      <c r="C12" s="412"/>
      <c r="D12" s="412"/>
      <c r="E12" s="198">
        <f>SUM(D19:D42)</f>
        <v>0</v>
      </c>
      <c r="F12" s="102"/>
      <c r="G12" s="156"/>
      <c r="H12" s="410"/>
      <c r="I12" s="410"/>
      <c r="J12" s="410"/>
      <c r="K12" s="9"/>
      <c r="L12" s="100" t="s">
        <v>3</v>
      </c>
      <c r="M12" s="100"/>
    </row>
    <row r="13" spans="2:13" ht="20.25" customHeight="1" x14ac:dyDescent="0.2">
      <c r="B13" s="493" t="s">
        <v>93</v>
      </c>
      <c r="C13" s="494"/>
      <c r="D13" s="494"/>
      <c r="E13" s="199">
        <f>SUM(F19:F42)</f>
        <v>0</v>
      </c>
      <c r="F13" s="4"/>
      <c r="G13" s="156"/>
      <c r="H13" s="410"/>
      <c r="I13" s="410"/>
      <c r="J13" s="410"/>
      <c r="K13" s="9"/>
      <c r="L13" s="100"/>
      <c r="M13" s="100"/>
    </row>
    <row r="14" spans="2:13" ht="20.25" customHeight="1" thickBot="1" x14ac:dyDescent="0.3">
      <c r="B14" s="490" t="s">
        <v>103</v>
      </c>
      <c r="C14" s="491"/>
      <c r="D14" s="492"/>
      <c r="E14" s="200">
        <f>(E9+E12-E13)</f>
        <v>4</v>
      </c>
      <c r="F14" s="4"/>
      <c r="G14" s="191"/>
      <c r="H14" s="191"/>
      <c r="I14" s="191"/>
      <c r="J14" s="191"/>
      <c r="K14" s="9"/>
      <c r="L14" s="100"/>
      <c r="M14" s="100"/>
    </row>
    <row r="15" spans="2:13" ht="12.75" customHeight="1" x14ac:dyDescent="0.2"/>
    <row r="16" spans="2:13" ht="3" customHeight="1" thickBot="1" x14ac:dyDescent="0.25"/>
    <row r="17" spans="2:16" ht="23.25" customHeight="1" thickBot="1" x14ac:dyDescent="0.25">
      <c r="B17" s="419" t="s">
        <v>12</v>
      </c>
      <c r="C17" s="420"/>
      <c r="D17" s="420"/>
      <c r="E17" s="420"/>
      <c r="F17" s="420"/>
      <c r="G17" s="421"/>
      <c r="H17" s="19"/>
      <c r="I17" s="419" t="s">
        <v>19</v>
      </c>
      <c r="J17" s="420"/>
      <c r="K17" s="420"/>
      <c r="L17" s="420"/>
      <c r="M17" s="421"/>
    </row>
    <row r="18" spans="2:16" ht="69.75" customHeight="1" thickBot="1" x14ac:dyDescent="0.25">
      <c r="B18" s="91" t="s">
        <v>5</v>
      </c>
      <c r="C18" s="89" t="s">
        <v>22</v>
      </c>
      <c r="D18" s="135" t="s">
        <v>89</v>
      </c>
      <c r="E18" s="90" t="s">
        <v>85</v>
      </c>
      <c r="F18" s="89" t="s">
        <v>96</v>
      </c>
      <c r="G18" s="90" t="s">
        <v>97</v>
      </c>
      <c r="H18" s="1"/>
      <c r="I18" s="16" t="s">
        <v>15</v>
      </c>
      <c r="J18" s="16" t="s">
        <v>16</v>
      </c>
      <c r="K18" s="16" t="s">
        <v>98</v>
      </c>
      <c r="L18" s="180" t="s">
        <v>17</v>
      </c>
      <c r="M18" s="180" t="s">
        <v>18</v>
      </c>
    </row>
    <row r="19" spans="2:16" ht="13.5" customHeight="1" x14ac:dyDescent="0.2">
      <c r="B19" s="148" t="s">
        <v>6</v>
      </c>
      <c r="C19" s="143">
        <v>37</v>
      </c>
      <c r="D19" s="140"/>
      <c r="E19" s="37"/>
      <c r="F19" s="37"/>
      <c r="G19" s="146"/>
      <c r="H19" s="102"/>
      <c r="I19" s="422"/>
      <c r="J19" s="425"/>
      <c r="K19" s="428"/>
      <c r="L19" s="422"/>
      <c r="M19" s="429"/>
    </row>
    <row r="20" spans="2:16" ht="12" customHeight="1" x14ac:dyDescent="0.2">
      <c r="B20" s="149" t="s">
        <v>157</v>
      </c>
      <c r="C20" s="144">
        <v>12</v>
      </c>
      <c r="D20" s="152"/>
      <c r="E20" s="107"/>
      <c r="F20" s="107"/>
      <c r="G20" s="154"/>
      <c r="H20" s="102"/>
      <c r="I20" s="423"/>
      <c r="J20" s="426"/>
      <c r="K20" s="423"/>
      <c r="L20" s="423"/>
      <c r="M20" s="430"/>
    </row>
    <row r="21" spans="2:16" ht="12.75" customHeight="1" thickBot="1" x14ac:dyDescent="0.25">
      <c r="B21" s="149">
        <v>5</v>
      </c>
      <c r="C21" s="144">
        <v>10</v>
      </c>
      <c r="D21" s="173" t="s">
        <v>94</v>
      </c>
      <c r="E21" s="107"/>
      <c r="F21" s="107"/>
      <c r="G21" s="154"/>
      <c r="H21" s="102"/>
      <c r="I21" s="424"/>
      <c r="J21" s="427"/>
      <c r="K21" s="424"/>
      <c r="L21" s="424"/>
      <c r="M21" s="431"/>
    </row>
    <row r="22" spans="2:16" ht="12.75" thickBot="1" x14ac:dyDescent="0.25">
      <c r="B22" s="149" t="s">
        <v>84</v>
      </c>
      <c r="C22" s="144">
        <v>10</v>
      </c>
      <c r="D22" s="173" t="s">
        <v>94</v>
      </c>
      <c r="E22" s="107"/>
      <c r="F22" s="107"/>
      <c r="G22" s="154"/>
      <c r="H22" s="102"/>
      <c r="I22" s="419" t="s">
        <v>14</v>
      </c>
      <c r="J22" s="420"/>
      <c r="K22" s="420"/>
      <c r="L22" s="420"/>
      <c r="M22" s="421"/>
    </row>
    <row r="23" spans="2:16" ht="12" customHeight="1" x14ac:dyDescent="0.2">
      <c r="B23" s="149">
        <v>9</v>
      </c>
      <c r="C23" s="144">
        <v>15</v>
      </c>
      <c r="D23" s="173" t="s">
        <v>94</v>
      </c>
      <c r="E23" s="107"/>
      <c r="F23" s="107"/>
      <c r="G23" s="154"/>
      <c r="H23" s="102"/>
      <c r="I23" s="432" t="s">
        <v>14</v>
      </c>
      <c r="J23" s="432" t="s">
        <v>95</v>
      </c>
      <c r="K23" s="432" t="s">
        <v>88</v>
      </c>
      <c r="L23" s="432" t="s">
        <v>87</v>
      </c>
      <c r="M23" s="432" t="s">
        <v>96</v>
      </c>
      <c r="N23" s="401" t="s">
        <v>22</v>
      </c>
    </row>
    <row r="24" spans="2:16" ht="12" customHeight="1" x14ac:dyDescent="0.2">
      <c r="B24" s="149">
        <v>10</v>
      </c>
      <c r="C24" s="144">
        <v>26</v>
      </c>
      <c r="D24" s="173" t="s">
        <v>94</v>
      </c>
      <c r="E24" s="107"/>
      <c r="F24" s="107"/>
      <c r="G24" s="154"/>
      <c r="H24" s="102"/>
      <c r="I24" s="433"/>
      <c r="J24" s="433"/>
      <c r="K24" s="434"/>
      <c r="L24" s="434"/>
      <c r="M24" s="434"/>
      <c r="N24" s="402"/>
    </row>
    <row r="25" spans="2:16" ht="12" customHeight="1" thickBot="1" x14ac:dyDescent="0.25">
      <c r="B25" s="149">
        <v>13</v>
      </c>
      <c r="C25" s="144">
        <v>26</v>
      </c>
      <c r="D25" s="173" t="s">
        <v>94</v>
      </c>
      <c r="E25" s="107"/>
      <c r="F25" s="107"/>
      <c r="G25" s="154"/>
      <c r="H25" s="102"/>
      <c r="I25" s="433"/>
      <c r="J25" s="433"/>
      <c r="K25" s="434"/>
      <c r="L25" s="434"/>
      <c r="M25" s="434"/>
      <c r="N25" s="402"/>
    </row>
    <row r="26" spans="2:16" x14ac:dyDescent="0.2">
      <c r="B26" s="150">
        <v>22</v>
      </c>
      <c r="C26" s="144">
        <v>4</v>
      </c>
      <c r="D26" s="139"/>
      <c r="E26" s="107"/>
      <c r="F26" s="107"/>
      <c r="G26" s="154"/>
      <c r="H26" s="102"/>
      <c r="I26" s="157" t="s">
        <v>160</v>
      </c>
      <c r="J26" s="159"/>
      <c r="K26" s="106"/>
      <c r="L26" s="106"/>
      <c r="M26" s="146"/>
      <c r="N26" s="237">
        <v>28</v>
      </c>
    </row>
    <row r="27" spans="2:16" x14ac:dyDescent="0.2">
      <c r="B27" s="149">
        <v>22</v>
      </c>
      <c r="C27" s="144">
        <v>16</v>
      </c>
      <c r="D27" s="152"/>
      <c r="E27" s="107"/>
      <c r="F27" s="107"/>
      <c r="G27" s="154"/>
      <c r="H27" s="102"/>
      <c r="I27" s="158" t="s">
        <v>162</v>
      </c>
      <c r="J27" s="26"/>
      <c r="K27" s="108"/>
      <c r="L27" s="108"/>
      <c r="M27" s="109"/>
      <c r="N27" s="237">
        <v>6</v>
      </c>
    </row>
    <row r="28" spans="2:16" ht="12" customHeight="1" x14ac:dyDescent="0.2">
      <c r="B28" s="149">
        <v>23</v>
      </c>
      <c r="C28" s="144">
        <v>26</v>
      </c>
      <c r="D28" s="152"/>
      <c r="E28" s="107"/>
      <c r="F28" s="107"/>
      <c r="G28" s="154"/>
      <c r="H28" s="102"/>
      <c r="I28" s="158" t="s">
        <v>161</v>
      </c>
      <c r="J28" s="160"/>
      <c r="K28" s="108"/>
      <c r="L28" s="108"/>
      <c r="M28" s="109"/>
      <c r="N28" s="237">
        <v>4</v>
      </c>
      <c r="P28" s="105" t="s">
        <v>3</v>
      </c>
    </row>
    <row r="29" spans="2:16" ht="12" customHeight="1" x14ac:dyDescent="0.2">
      <c r="B29" s="149">
        <v>32</v>
      </c>
      <c r="C29" s="144">
        <v>23</v>
      </c>
      <c r="D29" s="152"/>
      <c r="E29" s="107"/>
      <c r="F29" s="107"/>
      <c r="G29" s="154"/>
      <c r="H29" s="102"/>
      <c r="I29" s="218" t="s">
        <v>159</v>
      </c>
      <c r="J29" s="26"/>
      <c r="K29" s="21"/>
      <c r="L29" s="21"/>
      <c r="M29" s="125"/>
      <c r="N29" s="237">
        <v>11</v>
      </c>
    </row>
    <row r="30" spans="2:16" ht="12.75" customHeight="1" x14ac:dyDescent="0.2">
      <c r="B30" s="150">
        <v>34</v>
      </c>
      <c r="C30" s="144">
        <v>4</v>
      </c>
      <c r="D30" s="152"/>
      <c r="E30" s="107"/>
      <c r="F30" s="107"/>
      <c r="G30" s="154"/>
      <c r="H30" s="102"/>
      <c r="I30" s="158" t="s">
        <v>115</v>
      </c>
      <c r="J30" s="26"/>
      <c r="K30" s="108"/>
      <c r="L30" s="108"/>
      <c r="M30" s="109"/>
      <c r="N30" s="237">
        <v>3</v>
      </c>
    </row>
    <row r="31" spans="2:16" x14ac:dyDescent="0.2">
      <c r="B31" s="149">
        <v>34</v>
      </c>
      <c r="C31" s="144">
        <v>16</v>
      </c>
      <c r="D31" s="152"/>
      <c r="E31" s="107"/>
      <c r="F31" s="107"/>
      <c r="G31" s="154"/>
      <c r="H31" s="102"/>
      <c r="I31" s="232" t="s">
        <v>114</v>
      </c>
      <c r="J31" s="233"/>
      <c r="K31" s="231"/>
      <c r="L31" s="231"/>
      <c r="M31" s="77"/>
      <c r="N31" s="237">
        <v>8</v>
      </c>
    </row>
    <row r="32" spans="2:16" ht="15.75" thickBot="1" x14ac:dyDescent="0.3">
      <c r="B32" s="150">
        <v>41</v>
      </c>
      <c r="C32" s="144">
        <v>21</v>
      </c>
      <c r="D32" s="152"/>
      <c r="E32" s="107"/>
      <c r="F32" s="107"/>
      <c r="G32" s="154"/>
      <c r="H32" s="102"/>
      <c r="I32" s="243"/>
      <c r="J32" s="161"/>
      <c r="K32" s="22"/>
      <c r="L32" s="22"/>
      <c r="M32" s="23"/>
      <c r="N32" s="238"/>
    </row>
    <row r="33" spans="2:13" ht="12.75" customHeight="1" thickBot="1" x14ac:dyDescent="0.25">
      <c r="B33" s="149">
        <v>42</v>
      </c>
      <c r="C33" s="144">
        <v>24</v>
      </c>
      <c r="D33" s="152"/>
      <c r="E33" s="107"/>
      <c r="F33" s="107"/>
      <c r="G33" s="154"/>
      <c r="H33" s="1"/>
      <c r="I33" s="1"/>
      <c r="J33" s="436"/>
      <c r="K33" s="436"/>
      <c r="L33" s="436"/>
      <c r="M33" s="436"/>
    </row>
    <row r="34" spans="2:13" ht="12.75" thickBot="1" x14ac:dyDescent="0.25">
      <c r="B34" s="150">
        <v>43</v>
      </c>
      <c r="C34" s="144">
        <v>19</v>
      </c>
      <c r="D34" s="152"/>
      <c r="E34" s="107"/>
      <c r="F34" s="107"/>
      <c r="G34" s="154"/>
      <c r="H34" s="102"/>
      <c r="I34" s="437" t="s">
        <v>30</v>
      </c>
      <c r="J34" s="438"/>
      <c r="K34" s="438"/>
      <c r="L34" s="438"/>
      <c r="M34" s="439"/>
    </row>
    <row r="35" spans="2:13" ht="12.75" customHeight="1" x14ac:dyDescent="0.2">
      <c r="B35" s="149">
        <v>44</v>
      </c>
      <c r="C35" s="144">
        <v>30</v>
      </c>
      <c r="D35" s="152"/>
      <c r="E35" s="107"/>
      <c r="F35" s="107"/>
      <c r="G35" s="154"/>
      <c r="H35" s="1"/>
      <c r="I35" s="440" t="s">
        <v>31</v>
      </c>
      <c r="J35" s="442" t="s">
        <v>90</v>
      </c>
      <c r="K35" s="442" t="s">
        <v>13</v>
      </c>
      <c r="L35" s="442" t="s">
        <v>32</v>
      </c>
      <c r="M35" s="444" t="s">
        <v>91</v>
      </c>
    </row>
    <row r="36" spans="2:13" ht="12.75" customHeight="1" thickBot="1" x14ac:dyDescent="0.25">
      <c r="B36" s="150">
        <v>51</v>
      </c>
      <c r="C36" s="144">
        <v>10</v>
      </c>
      <c r="D36" s="139"/>
      <c r="E36" s="107"/>
      <c r="F36" s="107"/>
      <c r="G36" s="154"/>
      <c r="H36" s="1"/>
      <c r="I36" s="441"/>
      <c r="J36" s="443"/>
      <c r="K36" s="443"/>
      <c r="L36" s="443"/>
      <c r="M36" s="445"/>
    </row>
    <row r="37" spans="2:13" x14ac:dyDescent="0.2">
      <c r="B37" s="150">
        <v>53</v>
      </c>
      <c r="C37" s="144">
        <v>24</v>
      </c>
      <c r="D37" s="139"/>
      <c r="E37" s="107"/>
      <c r="F37" s="107"/>
      <c r="G37" s="154"/>
      <c r="H37" s="102"/>
      <c r="I37" s="446"/>
      <c r="J37" s="449"/>
      <c r="K37" s="449"/>
      <c r="L37" s="449"/>
      <c r="M37" s="449"/>
    </row>
    <row r="38" spans="2:13" x14ac:dyDescent="0.2">
      <c r="B38" s="149" t="s">
        <v>158</v>
      </c>
      <c r="C38" s="144">
        <v>10</v>
      </c>
      <c r="D38" s="152"/>
      <c r="E38" s="107"/>
      <c r="F38" s="107"/>
      <c r="G38" s="154"/>
      <c r="H38" s="102"/>
      <c r="I38" s="447"/>
      <c r="J38" s="450"/>
      <c r="K38" s="450"/>
      <c r="L38" s="450"/>
      <c r="M38" s="450"/>
    </row>
    <row r="39" spans="2:13" ht="13.5" customHeight="1" thickBot="1" x14ac:dyDescent="0.25">
      <c r="B39" s="149">
        <v>31</v>
      </c>
      <c r="C39" s="144">
        <v>24</v>
      </c>
      <c r="D39" s="152"/>
      <c r="E39" s="107"/>
      <c r="F39" s="107"/>
      <c r="G39" s="154"/>
      <c r="H39" s="102"/>
      <c r="I39" s="448"/>
      <c r="J39" s="451"/>
      <c r="K39" s="451"/>
      <c r="L39" s="451"/>
      <c r="M39" s="451"/>
    </row>
    <row r="40" spans="2:13" ht="13.5" customHeight="1" thickBot="1" x14ac:dyDescent="0.25">
      <c r="B40" s="149">
        <v>33</v>
      </c>
      <c r="C40" s="144">
        <v>23</v>
      </c>
      <c r="D40" s="152"/>
      <c r="E40" s="107"/>
      <c r="F40" s="107"/>
      <c r="G40" s="154"/>
      <c r="H40" s="102"/>
      <c r="J40" s="31"/>
      <c r="K40" s="435"/>
      <c r="L40" s="435"/>
      <c r="M40" s="104"/>
    </row>
    <row r="41" spans="2:13" ht="12.75" thickBot="1" x14ac:dyDescent="0.25">
      <c r="B41" s="149">
        <v>52</v>
      </c>
      <c r="C41" s="144">
        <v>24</v>
      </c>
      <c r="D41" s="152"/>
      <c r="E41" s="107"/>
      <c r="F41" s="107"/>
      <c r="G41" s="154"/>
      <c r="H41" s="102"/>
      <c r="I41" s="452" t="s">
        <v>34</v>
      </c>
      <c r="J41" s="453"/>
      <c r="K41" s="453"/>
      <c r="L41" s="453"/>
      <c r="M41" s="454"/>
    </row>
    <row r="42" spans="2:13" ht="12" customHeight="1" thickBot="1" x14ac:dyDescent="0.25">
      <c r="B42" s="151">
        <v>54</v>
      </c>
      <c r="C42" s="147">
        <v>24</v>
      </c>
      <c r="D42" s="172"/>
      <c r="E42" s="141"/>
      <c r="F42" s="141"/>
      <c r="G42" s="110"/>
      <c r="H42" s="102"/>
      <c r="I42" s="455" t="s">
        <v>31</v>
      </c>
      <c r="J42" s="456" t="s">
        <v>90</v>
      </c>
      <c r="K42" s="456" t="s">
        <v>13</v>
      </c>
      <c r="L42" s="456" t="s">
        <v>32</v>
      </c>
      <c r="M42" s="457" t="s">
        <v>91</v>
      </c>
    </row>
    <row r="43" spans="2:13" ht="12.95" customHeight="1" thickBot="1" x14ac:dyDescent="0.25">
      <c r="B43" s="137" t="s">
        <v>24</v>
      </c>
      <c r="C43" s="121"/>
      <c r="D43" s="121"/>
      <c r="E43" s="138"/>
      <c r="F43" s="121"/>
      <c r="G43" s="187"/>
      <c r="H43" s="102"/>
      <c r="I43" s="441"/>
      <c r="J43" s="443"/>
      <c r="K43" s="443"/>
      <c r="L43" s="443"/>
      <c r="M43" s="445"/>
    </row>
    <row r="44" spans="2:13" ht="17.100000000000001" customHeight="1" thickBot="1" x14ac:dyDescent="0.25">
      <c r="B44" s="28" t="s">
        <v>11</v>
      </c>
      <c r="C44" s="29">
        <f>SUM(C19:C42)</f>
        <v>458</v>
      </c>
      <c r="D44" s="30">
        <f>SUM(D19:D42)</f>
        <v>0</v>
      </c>
      <c r="E44" s="30">
        <f>SUM(E38:E43)</f>
        <v>0</v>
      </c>
      <c r="F44" s="30">
        <f>SUM(F38:F42)</f>
        <v>0</v>
      </c>
      <c r="G44" s="188">
        <f>SUM(G38:G42)</f>
        <v>0</v>
      </c>
      <c r="I44" s="465"/>
      <c r="J44" s="465"/>
      <c r="K44" s="465"/>
      <c r="L44" s="465"/>
      <c r="M44" s="465"/>
    </row>
    <row r="45" spans="2:13" ht="12.75" thickBot="1" x14ac:dyDescent="0.25">
      <c r="B45" s="463" t="s">
        <v>83</v>
      </c>
      <c r="C45" s="464"/>
      <c r="D45" s="94"/>
      <c r="E45" s="82"/>
      <c r="F45" s="102"/>
      <c r="G45" s="102"/>
      <c r="H45" s="102"/>
      <c r="I45" s="466"/>
      <c r="J45" s="466"/>
      <c r="K45" s="466"/>
      <c r="L45" s="466"/>
      <c r="M45" s="466"/>
    </row>
    <row r="46" spans="2:13" ht="12.75" thickBot="1" x14ac:dyDescent="0.25">
      <c r="B46" s="39"/>
      <c r="C46" s="39"/>
      <c r="D46" s="102"/>
      <c r="E46" s="102"/>
      <c r="F46" s="6"/>
      <c r="G46" s="102"/>
      <c r="H46" s="102"/>
      <c r="I46" s="467"/>
      <c r="J46" s="467"/>
      <c r="K46" s="467"/>
      <c r="L46" s="467"/>
      <c r="M46" s="467"/>
    </row>
    <row r="47" spans="2:13" ht="12.75" thickBot="1" x14ac:dyDescent="0.25">
      <c r="B47" s="9"/>
      <c r="C47" s="104"/>
      <c r="D47" s="104"/>
      <c r="E47" s="31"/>
      <c r="F47" s="31"/>
      <c r="G47" s="31"/>
    </row>
    <row r="48" spans="2:13" ht="12.75" thickBot="1" x14ac:dyDescent="0.25">
      <c r="B48" s="419" t="s">
        <v>102</v>
      </c>
      <c r="C48" s="420"/>
      <c r="D48" s="420"/>
      <c r="E48" s="420"/>
      <c r="F48" s="420"/>
      <c r="G48" s="421"/>
      <c r="I48" s="458" t="s">
        <v>23</v>
      </c>
      <c r="J48" s="459"/>
      <c r="K48" s="459"/>
      <c r="L48" s="459"/>
      <c r="M48" s="460"/>
    </row>
    <row r="49" spans="2:14" ht="24" customHeight="1" thickBot="1" x14ac:dyDescent="0.25">
      <c r="B49" s="127" t="s">
        <v>5</v>
      </c>
      <c r="C49" s="128" t="s">
        <v>22</v>
      </c>
      <c r="D49" s="129" t="s">
        <v>89</v>
      </c>
      <c r="E49" s="130" t="s">
        <v>85</v>
      </c>
      <c r="F49" s="128" t="s">
        <v>96</v>
      </c>
      <c r="G49" s="130" t="s">
        <v>86</v>
      </c>
      <c r="I49" s="99" t="s">
        <v>5</v>
      </c>
      <c r="J49" s="461" t="s">
        <v>7</v>
      </c>
      <c r="K49" s="461"/>
      <c r="L49" s="461" t="s">
        <v>71</v>
      </c>
      <c r="M49" s="462"/>
    </row>
    <row r="50" spans="2:14" ht="24" customHeight="1" x14ac:dyDescent="0.2">
      <c r="B50" s="181" t="s">
        <v>99</v>
      </c>
      <c r="C50" s="86">
        <v>9</v>
      </c>
      <c r="D50" s="115"/>
      <c r="E50" s="25"/>
      <c r="F50" s="106"/>
      <c r="G50" s="146"/>
      <c r="I50" s="174"/>
      <c r="J50" s="175"/>
      <c r="K50" s="175"/>
      <c r="L50" s="175"/>
      <c r="M50" s="176"/>
    </row>
    <row r="51" spans="2:14" ht="24" customHeight="1" x14ac:dyDescent="0.2">
      <c r="B51" s="182" t="s">
        <v>100</v>
      </c>
      <c r="C51" s="87">
        <v>4</v>
      </c>
      <c r="D51" s="115"/>
      <c r="E51" s="101"/>
      <c r="F51" s="107"/>
      <c r="G51" s="154"/>
      <c r="I51" s="174"/>
      <c r="J51" s="175"/>
      <c r="K51" s="175"/>
      <c r="L51" s="175"/>
      <c r="M51" s="176"/>
      <c r="N51" s="105" t="s">
        <v>3</v>
      </c>
    </row>
    <row r="52" spans="2:14" ht="24" customHeight="1" x14ac:dyDescent="0.2">
      <c r="B52" s="182" t="s">
        <v>25</v>
      </c>
      <c r="C52" s="87">
        <v>11</v>
      </c>
      <c r="D52" s="115"/>
      <c r="E52" s="26"/>
      <c r="F52" s="107"/>
      <c r="G52" s="154"/>
      <c r="I52" s="174"/>
      <c r="J52" s="175"/>
      <c r="K52" s="175"/>
      <c r="L52" s="175"/>
      <c r="M52" s="176"/>
    </row>
    <row r="53" spans="2:14" ht="24" customHeight="1" thickBot="1" x14ac:dyDescent="0.25">
      <c r="B53" s="183" t="s">
        <v>99</v>
      </c>
      <c r="C53" s="87">
        <v>10</v>
      </c>
      <c r="D53" s="115"/>
      <c r="E53" s="26"/>
      <c r="F53" s="107"/>
      <c r="G53" s="154"/>
      <c r="I53" s="177"/>
      <c r="J53" s="178"/>
      <c r="K53" s="178"/>
      <c r="L53" s="178"/>
      <c r="M53" s="179"/>
      <c r="N53" s="105" t="s">
        <v>3</v>
      </c>
    </row>
    <row r="54" spans="2:14" ht="24" customHeight="1" x14ac:dyDescent="0.2">
      <c r="B54" s="183" t="s">
        <v>116</v>
      </c>
      <c r="C54" s="87">
        <v>3</v>
      </c>
      <c r="D54" s="115"/>
      <c r="E54" s="26"/>
      <c r="F54" s="107"/>
      <c r="G54" s="154"/>
      <c r="I54" s="267"/>
      <c r="J54" s="267"/>
      <c r="K54" s="267"/>
      <c r="L54" s="267"/>
      <c r="M54" s="267"/>
    </row>
    <row r="55" spans="2:14" ht="24" customHeight="1" x14ac:dyDescent="0.2">
      <c r="B55" s="183" t="s">
        <v>100</v>
      </c>
      <c r="C55" s="87">
        <v>3</v>
      </c>
      <c r="D55" s="115"/>
      <c r="E55" s="26"/>
      <c r="F55" s="107"/>
      <c r="G55" s="154"/>
      <c r="H55" s="102"/>
      <c r="I55" s="97"/>
      <c r="J55" s="97"/>
      <c r="K55" s="97"/>
      <c r="L55" s="97"/>
      <c r="M55" s="97"/>
      <c r="N55" s="105" t="s">
        <v>3</v>
      </c>
    </row>
    <row r="56" spans="2:14" ht="24" customHeight="1" x14ac:dyDescent="0.2">
      <c r="B56" s="183" t="s">
        <v>25</v>
      </c>
      <c r="C56" s="87">
        <v>13</v>
      </c>
      <c r="D56" s="115"/>
      <c r="E56" s="26"/>
      <c r="F56" s="107"/>
      <c r="G56" s="154"/>
      <c r="H56" s="102"/>
      <c r="I56" s="97"/>
      <c r="J56" s="97"/>
      <c r="K56" s="97"/>
      <c r="L56" s="97"/>
      <c r="M56" s="97"/>
    </row>
    <row r="57" spans="2:14" ht="24" customHeight="1" x14ac:dyDescent="0.2">
      <c r="B57" s="184" t="s">
        <v>101</v>
      </c>
      <c r="C57" s="87">
        <v>18</v>
      </c>
      <c r="D57" s="133"/>
      <c r="E57" s="40"/>
      <c r="F57" s="27"/>
      <c r="G57" s="189"/>
      <c r="H57" s="102"/>
      <c r="I57" s="97"/>
      <c r="J57" s="97"/>
      <c r="K57" s="97"/>
      <c r="L57" s="97"/>
      <c r="M57" s="97"/>
    </row>
    <row r="58" spans="2:14" ht="24" customHeight="1" x14ac:dyDescent="0.2">
      <c r="B58" s="185" t="s">
        <v>101</v>
      </c>
      <c r="C58" s="88">
        <v>8</v>
      </c>
      <c r="D58" s="133"/>
      <c r="E58" s="40"/>
      <c r="F58" s="27"/>
      <c r="G58" s="189"/>
      <c r="H58" s="102"/>
      <c r="I58" s="97"/>
      <c r="J58" s="97"/>
      <c r="K58" s="97"/>
      <c r="L58" s="97"/>
      <c r="M58" s="97"/>
    </row>
    <row r="59" spans="2:14" ht="24" customHeight="1" x14ac:dyDescent="0.2">
      <c r="B59" s="186" t="s">
        <v>26</v>
      </c>
      <c r="C59" s="88">
        <v>17</v>
      </c>
      <c r="D59" s="133"/>
      <c r="E59" s="40"/>
      <c r="F59" s="27"/>
      <c r="G59" s="189"/>
      <c r="I59" s="97"/>
      <c r="J59" s="97"/>
      <c r="K59" s="97"/>
      <c r="L59" s="97"/>
      <c r="M59" s="97"/>
    </row>
    <row r="60" spans="2:14" ht="15.75" customHeight="1" thickBot="1" x14ac:dyDescent="0.25">
      <c r="B60" s="185" t="s">
        <v>26</v>
      </c>
      <c r="C60" s="88">
        <v>3</v>
      </c>
      <c r="D60" s="133"/>
      <c r="E60" s="40"/>
      <c r="F60" s="27"/>
      <c r="G60" s="189"/>
      <c r="J60" s="105" t="s">
        <v>3</v>
      </c>
    </row>
    <row r="61" spans="2:14" ht="12.75" thickBot="1" x14ac:dyDescent="0.25">
      <c r="B61" s="28" t="s">
        <v>11</v>
      </c>
      <c r="C61" s="78"/>
      <c r="D61" s="30">
        <f>SUM(D39:D60)</f>
        <v>0</v>
      </c>
      <c r="E61" s="30">
        <f>SUM(E39:E60)</f>
        <v>0</v>
      </c>
      <c r="F61" s="79">
        <f>SUM(F39:F60)</f>
        <v>0</v>
      </c>
      <c r="G61" s="79">
        <f>SUM(G39:G60)</f>
        <v>0</v>
      </c>
    </row>
    <row r="65" spans="5:11" x14ac:dyDescent="0.2">
      <c r="E65" s="105" t="s">
        <v>3</v>
      </c>
    </row>
    <row r="66" spans="5:11" x14ac:dyDescent="0.2">
      <c r="K66" s="105" t="s">
        <v>3</v>
      </c>
    </row>
  </sheetData>
  <sheetProtection selectLockedCells="1"/>
  <mergeCells count="60">
    <mergeCell ref="N23:N25"/>
    <mergeCell ref="I48:M48"/>
    <mergeCell ref="J49:K49"/>
    <mergeCell ref="L49:M49"/>
    <mergeCell ref="B45:C45"/>
    <mergeCell ref="I44:I46"/>
    <mergeCell ref="J44:J46"/>
    <mergeCell ref="K44:K46"/>
    <mergeCell ref="L44:L46"/>
    <mergeCell ref="M44:M46"/>
    <mergeCell ref="B48:G48"/>
    <mergeCell ref="I41:M41"/>
    <mergeCell ref="I42:I43"/>
    <mergeCell ref="J42:J43"/>
    <mergeCell ref="K42:K43"/>
    <mergeCell ref="L42:L43"/>
    <mergeCell ref="M42:M43"/>
    <mergeCell ref="K40:L40"/>
    <mergeCell ref="J33:M33"/>
    <mergeCell ref="I34:M34"/>
    <mergeCell ref="I35:I36"/>
    <mergeCell ref="J35:J36"/>
    <mergeCell ref="K35:K36"/>
    <mergeCell ref="L35:L36"/>
    <mergeCell ref="M35:M36"/>
    <mergeCell ref="I37:I39"/>
    <mergeCell ref="J37:J39"/>
    <mergeCell ref="K37:K39"/>
    <mergeCell ref="L37:L39"/>
    <mergeCell ref="M37:M39"/>
    <mergeCell ref="I22:M22"/>
    <mergeCell ref="I23:I25"/>
    <mergeCell ref="J23:J25"/>
    <mergeCell ref="K23:K25"/>
    <mergeCell ref="L23:L25"/>
    <mergeCell ref="M23:M25"/>
    <mergeCell ref="I19:I21"/>
    <mergeCell ref="J19:J21"/>
    <mergeCell ref="K19:K21"/>
    <mergeCell ref="L19:L21"/>
    <mergeCell ref="M19:M21"/>
    <mergeCell ref="B12:D12"/>
    <mergeCell ref="H12:J12"/>
    <mergeCell ref="B13:D13"/>
    <mergeCell ref="H13:J13"/>
    <mergeCell ref="I17:M17"/>
    <mergeCell ref="B17:G17"/>
    <mergeCell ref="B14:D14"/>
    <mergeCell ref="B9:D9"/>
    <mergeCell ref="H9:J9"/>
    <mergeCell ref="B10:D10"/>
    <mergeCell ref="H10:J10"/>
    <mergeCell ref="B11:D11"/>
    <mergeCell ref="H11:J11"/>
    <mergeCell ref="B2:M2"/>
    <mergeCell ref="C4:D4"/>
    <mergeCell ref="B7:D7"/>
    <mergeCell ref="H7:J7"/>
    <mergeCell ref="B8:D8"/>
    <mergeCell ref="H8:J8"/>
  </mergeCells>
  <conditionalFormatting sqref="M37:M40">
    <cfRule type="cellIs" dxfId="34" priority="8" operator="greaterThanOrEqual">
      <formula>1</formula>
    </cfRule>
  </conditionalFormatting>
  <conditionalFormatting sqref="M19:M21">
    <cfRule type="cellIs" dxfId="33" priority="2" operator="greaterThan">
      <formula>0</formula>
    </cfRule>
  </conditionalFormatting>
  <conditionalFormatting sqref="L19:L21">
    <cfRule type="cellIs" dxfId="32" priority="1" operator="greaterThan">
      <formula>0</formula>
    </cfRule>
  </conditionalFormatting>
  <pageMargins left="0.74803149606299213" right="0.74803149606299213" top="0.98425196850393704" bottom="0.98425196850393704" header="0.51181102362204722" footer="0.51181102362204722"/>
  <pageSetup paperSize="9" scale="57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F41"/>
  <sheetViews>
    <sheetView showGridLines="0" topLeftCell="B1" zoomScaleNormal="100" workbookViewId="0">
      <selection activeCell="F17" sqref="F17"/>
    </sheetView>
  </sheetViews>
  <sheetFormatPr defaultRowHeight="12.75" x14ac:dyDescent="0.2"/>
  <cols>
    <col min="1" max="1" width="9.140625" hidden="1" customWidth="1"/>
    <col min="2" max="2" width="2.85546875" customWidth="1"/>
    <col min="3" max="6" width="22.42578125" customWidth="1"/>
  </cols>
  <sheetData>
    <row r="1" spans="1:6" ht="33.75" x14ac:dyDescent="0.5">
      <c r="C1" s="524" t="e">
        <f>'0830'!#REF!</f>
        <v>#REF!</v>
      </c>
      <c r="D1" s="524"/>
      <c r="E1" s="525" t="str">
        <f>'0830'!F4</f>
        <v>Time:</v>
      </c>
      <c r="F1" s="525"/>
    </row>
    <row r="2" spans="1:6" ht="13.5" thickBot="1" x14ac:dyDescent="0.25"/>
    <row r="3" spans="1:6" ht="24" thickBot="1" x14ac:dyDescent="0.4">
      <c r="A3" s="41" t="s">
        <v>38</v>
      </c>
      <c r="C3" s="45" t="s">
        <v>37</v>
      </c>
      <c r="D3" s="526"/>
      <c r="E3" s="527"/>
      <c r="F3" s="528"/>
    </row>
    <row r="4" spans="1:6" ht="15.75" thickBot="1" x14ac:dyDescent="0.3">
      <c r="A4" s="41" t="s">
        <v>49</v>
      </c>
      <c r="C4" s="66"/>
      <c r="D4" s="65"/>
      <c r="E4" s="65"/>
      <c r="F4" s="65"/>
    </row>
    <row r="5" spans="1:6" ht="13.5" thickBot="1" x14ac:dyDescent="0.25">
      <c r="A5" s="41" t="s">
        <v>50</v>
      </c>
      <c r="C5" s="523" t="s">
        <v>44</v>
      </c>
      <c r="D5" s="513"/>
      <c r="E5" s="513"/>
      <c r="F5" s="514"/>
    </row>
    <row r="6" spans="1:6" x14ac:dyDescent="0.2">
      <c r="A6" s="41" t="s">
        <v>51</v>
      </c>
      <c r="C6" s="522" t="s">
        <v>41</v>
      </c>
      <c r="D6" s="498"/>
      <c r="E6" s="498"/>
      <c r="F6" s="58" t="e">
        <f>SUM(#REF!)</f>
        <v>#REF!</v>
      </c>
    </row>
    <row r="7" spans="1:6" x14ac:dyDescent="0.2">
      <c r="A7" s="41" t="s">
        <v>52</v>
      </c>
      <c r="C7" s="521" t="s">
        <v>43</v>
      </c>
      <c r="D7" s="500"/>
      <c r="E7" s="500"/>
      <c r="F7" s="59">
        <f>SUM('0830'!L19:L21)</f>
        <v>2</v>
      </c>
    </row>
    <row r="8" spans="1:6" ht="12.75" customHeight="1" x14ac:dyDescent="0.2">
      <c r="A8" s="41" t="s">
        <v>53</v>
      </c>
      <c r="C8" s="521" t="s">
        <v>42</v>
      </c>
      <c r="D8" s="500"/>
      <c r="E8" s="500"/>
      <c r="F8" s="60">
        <f>SUM('0830'!M19:M21)</f>
        <v>0</v>
      </c>
    </row>
    <row r="9" spans="1:6" ht="15" customHeight="1" x14ac:dyDescent="0.2">
      <c r="A9" s="41" t="s">
        <v>54</v>
      </c>
      <c r="C9" s="519" t="s">
        <v>40</v>
      </c>
      <c r="D9" s="520"/>
      <c r="E9" s="520"/>
      <c r="F9" s="43">
        <f>(SUM('0830'!P19:P21))+(SUM('0830'!O44:O44))</f>
        <v>1</v>
      </c>
    </row>
    <row r="10" spans="1:6" ht="13.5" thickBot="1" x14ac:dyDescent="0.25">
      <c r="A10" s="41" t="s">
        <v>55</v>
      </c>
      <c r="C10" s="517" t="s">
        <v>65</v>
      </c>
      <c r="D10" s="518"/>
      <c r="E10" s="518"/>
      <c r="F10" s="50" t="e">
        <f>SUM('0830'!#REF!)</f>
        <v>#REF!</v>
      </c>
    </row>
    <row r="11" spans="1:6" ht="13.5" thickBot="1" x14ac:dyDescent="0.25"/>
    <row r="12" spans="1:6" ht="13.5" thickBot="1" x14ac:dyDescent="0.25">
      <c r="A12" t="s">
        <v>33</v>
      </c>
      <c r="C12" s="515" t="s">
        <v>29</v>
      </c>
      <c r="D12" s="516"/>
      <c r="E12" s="515" t="s">
        <v>39</v>
      </c>
      <c r="F12" s="516"/>
    </row>
    <row r="13" spans="1:6" x14ac:dyDescent="0.2">
      <c r="A13" t="s">
        <v>59</v>
      </c>
      <c r="C13" s="63" t="s">
        <v>35</v>
      </c>
      <c r="D13" s="64" t="s">
        <v>36</v>
      </c>
      <c r="E13" s="63" t="s">
        <v>70</v>
      </c>
      <c r="F13" s="64" t="s">
        <v>69</v>
      </c>
    </row>
    <row r="14" spans="1:6" ht="13.5" thickBot="1" x14ac:dyDescent="0.25">
      <c r="C14" s="58" t="e">
        <f>((((SUM(#REF!)+15)-((IF((SUM('0830'!N44:N44))&gt;0,(7-(SUM('0830'!N44:N44))),0))+(SUM('0830'!#REF!))+'0830'!D35)))+((IF('0830'!#REF!=13,(SUM('0830'!#REF!)),0))+(IF('0830'!M36=13,(SUM('0830'!P36:P36)),0))+(IF('0830'!#REF!=13,(SUM('0830'!#REF!)),0))+(IF('0830'!M37=13,(SUM('0830'!P37:P37)),0))+(IF('0830'!#REF!=13,(SUM('0830'!P38:P38)),0))+(IF('0830'!M39=13,(SUM('0830'!P39:P39)),0))))/((SUM(#REF!)+15))</f>
        <v>#REF!</v>
      </c>
      <c r="D14" s="58" t="e">
        <f>((((SUM(#REF!)+(SUM(#REF!)))-('0830'!D44+'0830'!#REF!)))+((IF('0830'!#REF!="SSSU",(SUM('0830'!#REF!)),0))+(IF('0830'!M36="SSSU",(SUM('0830'!P36:P36)),0))+(IF('0830'!#REF!="SSSU",(SUM('0830'!#REF!)),0))+(IF('0830'!M37="SSSU",(SUM('0830'!P37:P37)),0))+(IF('0830'!#REF!="SSSU",(SUM('0830'!P38:P38)),0))+( IF('0830'!M39="SSSU",(SUM('0830'!P39:P39)),0))))/(SUM(#REF!)+(SUM(#REF!)))</f>
        <v>#REF!</v>
      </c>
      <c r="E14" s="44" t="e">
        <f>SUM('0830'!C35,'0830'!C44,'0830'!#REF!)</f>
        <v>#REF!</v>
      </c>
      <c r="F14" s="50" t="e">
        <f>SUM('0830'!#REF!,'0830'!#REF!,'0830'!#REF!)</f>
        <v>#REF!</v>
      </c>
    </row>
    <row r="15" spans="1:6" x14ac:dyDescent="0.2">
      <c r="C15" s="46" t="s">
        <v>71</v>
      </c>
      <c r="D15" s="43">
        <f>SUM('0830'!P36:P40)</f>
        <v>3</v>
      </c>
      <c r="E15" s="61" t="s">
        <v>73</v>
      </c>
      <c r="F15" s="62" t="s">
        <v>45</v>
      </c>
    </row>
    <row r="16" spans="1:6" ht="13.5" thickBot="1" x14ac:dyDescent="0.25">
      <c r="C16" s="53" t="s">
        <v>72</v>
      </c>
      <c r="D16" s="54" t="e">
        <f>((((SUM(#REF!)+(SUM(#REF!)))-('0830'!D44+'0830'!#REF!))+((((SUM(#REF!)+15)-((SUM('0830'!N44:N44))+(SUM('0830'!#REF!))+'0830'!D35))+((IF('0830'!#REF!=13,(SUM('0830'!#REF!)),0))+(IF('0830'!M36=13,(SUM('0830'!P36:P36)),0))+(IF('0830'!#REF!=13,(SUM('0830'!#REF!)),0))+(IF('0830'!M37=13,(SUM('0830'!P37:P37)),0))+(IF('0830'!#REF!=13,(SUM('0830'!P38:P38)),0))+(IF('0830'!M39=13,(SUM('0830'!P39:P39)),0))+ ((IF('0830'!#REF!="SSSU",(SUM('0830'!#REF!)),0))+(IF('0830'!M36="SSSU",(SUM('0830'!P36:P36)),0))+(IF('0830'!#REF!="SSSU",(SUM('0830'!#REF!)),0))+(IF('0830'!M37="SSSU",(SUM('0830'!P37:P37)),0))+(IF('0830'!#REF!="SSSU",(SUM('0830'!P38:P38)),0))+( IF('0830'!M39="SSSU",(SUM('0830'!P39:P39)),0)))))))/((SUM(#REF!)+(SUM(#REF!)))+((SUM(#REF!)+15))))</f>
        <v>#REF!</v>
      </c>
      <c r="E16" s="44">
        <f>SUM('0830'!M27:M31)</f>
        <v>5</v>
      </c>
      <c r="F16" s="50">
        <f>'0830'!M27</f>
        <v>1</v>
      </c>
    </row>
    <row r="17" spans="3:6" ht="13.5" thickBot="1" x14ac:dyDescent="0.25"/>
    <row r="18" spans="3:6" x14ac:dyDescent="0.2">
      <c r="C18" s="507" t="s">
        <v>48</v>
      </c>
      <c r="D18" s="508"/>
      <c r="E18" s="509" t="s">
        <v>66</v>
      </c>
      <c r="F18" s="508"/>
    </row>
    <row r="19" spans="3:6" x14ac:dyDescent="0.2">
      <c r="C19" s="46" t="s">
        <v>46</v>
      </c>
      <c r="D19" s="52" t="s">
        <v>13</v>
      </c>
      <c r="E19" s="55" t="s">
        <v>46</v>
      </c>
      <c r="F19" s="52" t="s">
        <v>13</v>
      </c>
    </row>
    <row r="20" spans="3:6" x14ac:dyDescent="0.2">
      <c r="C20" s="42"/>
      <c r="D20" s="43"/>
      <c r="E20" s="56">
        <f>'0830'!N8</f>
        <v>0</v>
      </c>
      <c r="F20" s="43">
        <f>'0830'!N13</f>
        <v>0</v>
      </c>
    </row>
    <row r="21" spans="3:6" ht="13.5" thickBot="1" x14ac:dyDescent="0.25">
      <c r="C21" s="53" t="s">
        <v>47</v>
      </c>
      <c r="D21" s="72">
        <f>D20-C20</f>
        <v>0</v>
      </c>
      <c r="E21" s="57" t="s">
        <v>47</v>
      </c>
      <c r="F21" s="72">
        <f>F20-E20</f>
        <v>0</v>
      </c>
    </row>
    <row r="22" spans="3:6" ht="13.5" thickBot="1" x14ac:dyDescent="0.25"/>
    <row r="23" spans="3:6" x14ac:dyDescent="0.2">
      <c r="C23" s="507" t="s">
        <v>67</v>
      </c>
      <c r="D23" s="508"/>
      <c r="E23" s="510" t="s">
        <v>80</v>
      </c>
      <c r="F23" s="511"/>
    </row>
    <row r="24" spans="3:6" x14ac:dyDescent="0.2">
      <c r="C24" s="68" t="s">
        <v>82</v>
      </c>
      <c r="D24" s="52" t="s">
        <v>68</v>
      </c>
      <c r="E24" s="55" t="s">
        <v>79</v>
      </c>
      <c r="F24" s="52" t="s">
        <v>81</v>
      </c>
    </row>
    <row r="25" spans="3:6" x14ac:dyDescent="0.2">
      <c r="C25" s="42"/>
      <c r="D25" s="43"/>
      <c r="E25" s="56"/>
      <c r="F25" s="43"/>
    </row>
    <row r="26" spans="3:6" ht="13.5" thickBot="1" x14ac:dyDescent="0.25">
      <c r="C26" s="53" t="s">
        <v>74</v>
      </c>
      <c r="D26" s="54" t="e">
        <f>D25/C25</f>
        <v>#DIV/0!</v>
      </c>
      <c r="E26" s="57"/>
      <c r="F26" s="54"/>
    </row>
    <row r="27" spans="3:6" ht="13.5" thickBot="1" x14ac:dyDescent="0.25"/>
    <row r="28" spans="3:6" ht="13.5" thickBot="1" x14ac:dyDescent="0.25">
      <c r="C28" s="48"/>
      <c r="D28" s="73" t="s">
        <v>57</v>
      </c>
    </row>
    <row r="29" spans="3:6" ht="13.5" thickBot="1" x14ac:dyDescent="0.25">
      <c r="C29" s="47" t="s">
        <v>56</v>
      </c>
      <c r="D29" s="70"/>
    </row>
    <row r="30" spans="3:6" ht="13.5" thickBot="1" x14ac:dyDescent="0.25"/>
    <row r="31" spans="3:6" ht="13.5" thickBot="1" x14ac:dyDescent="0.25">
      <c r="C31" s="512" t="s">
        <v>58</v>
      </c>
      <c r="D31" s="513"/>
      <c r="E31" s="513"/>
      <c r="F31" s="514"/>
    </row>
    <row r="32" spans="3:6" x14ac:dyDescent="0.2">
      <c r="C32" s="497" t="s">
        <v>60</v>
      </c>
      <c r="D32" s="498"/>
      <c r="E32" s="498"/>
      <c r="F32" s="59"/>
    </row>
    <row r="33" spans="3:6" x14ac:dyDescent="0.2">
      <c r="C33" s="499" t="s">
        <v>75</v>
      </c>
      <c r="D33" s="500"/>
      <c r="E33" s="500"/>
      <c r="F33" s="59"/>
    </row>
    <row r="34" spans="3:6" ht="13.5" thickBot="1" x14ac:dyDescent="0.25">
      <c r="C34" s="499" t="s">
        <v>61</v>
      </c>
      <c r="D34" s="500"/>
      <c r="E34" s="500"/>
      <c r="F34" s="67"/>
    </row>
    <row r="35" spans="3:6" x14ac:dyDescent="0.2">
      <c r="C35" s="501" t="s">
        <v>62</v>
      </c>
      <c r="D35" s="502"/>
      <c r="E35" s="502"/>
      <c r="F35" s="503"/>
    </row>
    <row r="36" spans="3:6" x14ac:dyDescent="0.2">
      <c r="C36" s="497" t="s">
        <v>64</v>
      </c>
      <c r="D36" s="506"/>
      <c r="E36" s="504" t="s">
        <v>78</v>
      </c>
      <c r="F36" s="505"/>
    </row>
    <row r="37" spans="3:6" x14ac:dyDescent="0.2">
      <c r="C37" s="20" t="s">
        <v>76</v>
      </c>
      <c r="D37" s="51" t="s">
        <v>77</v>
      </c>
      <c r="E37" s="71" t="s">
        <v>76</v>
      </c>
      <c r="F37" s="52" t="s">
        <v>77</v>
      </c>
    </row>
    <row r="38" spans="3:6" ht="12.75" customHeight="1" thickBot="1" x14ac:dyDescent="0.25">
      <c r="C38" s="44"/>
      <c r="D38" s="49"/>
      <c r="E38" s="69"/>
      <c r="F38" s="50"/>
    </row>
    <row r="39" spans="3:6" x14ac:dyDescent="0.2">
      <c r="C39" s="533" t="s">
        <v>63</v>
      </c>
      <c r="D39" s="534"/>
      <c r="E39" s="534"/>
      <c r="F39" s="535"/>
    </row>
    <row r="40" spans="3:6" x14ac:dyDescent="0.2">
      <c r="C40" s="536" t="s">
        <v>64</v>
      </c>
      <c r="D40" s="537"/>
      <c r="E40" s="538" t="s">
        <v>58</v>
      </c>
      <c r="F40" s="539"/>
    </row>
    <row r="41" spans="3:6" ht="12.75" customHeight="1" thickBot="1" x14ac:dyDescent="0.25">
      <c r="C41" s="529"/>
      <c r="D41" s="530"/>
      <c r="E41" s="531"/>
      <c r="F41" s="532"/>
    </row>
  </sheetData>
  <mergeCells count="27">
    <mergeCell ref="C41:D41"/>
    <mergeCell ref="E41:F41"/>
    <mergeCell ref="C39:F39"/>
    <mergeCell ref="C40:D40"/>
    <mergeCell ref="E40:F40"/>
    <mergeCell ref="C7:E7"/>
    <mergeCell ref="C6:E6"/>
    <mergeCell ref="C5:F5"/>
    <mergeCell ref="C1:D1"/>
    <mergeCell ref="E1:F1"/>
    <mergeCell ref="D3:F3"/>
    <mergeCell ref="E12:F12"/>
    <mergeCell ref="C12:D12"/>
    <mergeCell ref="C10:E10"/>
    <mergeCell ref="C9:E9"/>
    <mergeCell ref="C8:E8"/>
    <mergeCell ref="C18:D18"/>
    <mergeCell ref="E18:F18"/>
    <mergeCell ref="C23:D23"/>
    <mergeCell ref="E23:F23"/>
    <mergeCell ref="C31:F31"/>
    <mergeCell ref="C32:E32"/>
    <mergeCell ref="C33:E33"/>
    <mergeCell ref="C34:E34"/>
    <mergeCell ref="C35:F35"/>
    <mergeCell ref="E36:F36"/>
    <mergeCell ref="C36:D36"/>
  </mergeCells>
  <conditionalFormatting sqref="D3:D4">
    <cfRule type="cellIs" dxfId="31" priority="27" operator="equal">
      <formula>"Critical"</formula>
    </cfRule>
    <cfRule type="cellIs" dxfId="30" priority="28" operator="between">
      <formula>"Red Level 1"</formula>
      <formula>"Red Level 3"</formula>
    </cfRule>
    <cfRule type="cellIs" dxfId="29" priority="29" operator="between">
      <formula>"Amber Level 1"</formula>
      <formula>"Amber Level 3"</formula>
    </cfRule>
    <cfRule type="cellIs" dxfId="28" priority="30" operator="equal">
      <formula>"Green"</formula>
    </cfRule>
  </conditionalFormatting>
  <conditionalFormatting sqref="D14">
    <cfRule type="cellIs" dxfId="27" priority="19" operator="greaterThanOrEqual">
      <formula>1</formula>
    </cfRule>
    <cfRule type="cellIs" dxfId="26" priority="20" operator="between">
      <formula>0.951</formula>
      <formula>0.999</formula>
    </cfRule>
    <cfRule type="cellIs" dxfId="25" priority="21" operator="between">
      <formula>0.901</formula>
      <formula>0.95</formula>
    </cfRule>
    <cfRule type="cellIs" dxfId="24" priority="22" operator="between">
      <formula>0.85</formula>
      <formula>0.9</formula>
    </cfRule>
  </conditionalFormatting>
  <conditionalFormatting sqref="C14">
    <cfRule type="cellIs" dxfId="23" priority="15" operator="greaterThan">
      <formula>1.05</formula>
    </cfRule>
    <cfRule type="cellIs" dxfId="22" priority="16" operator="between">
      <formula>1</formula>
      <formula>1.05</formula>
    </cfRule>
    <cfRule type="cellIs" dxfId="21" priority="17" operator="between">
      <formula>0.981</formula>
      <formula>0.999</formula>
    </cfRule>
    <cfRule type="cellIs" dxfId="20" priority="18" operator="greaterThanOrEqual">
      <formula>0.98</formula>
    </cfRule>
  </conditionalFormatting>
  <conditionalFormatting sqref="F9">
    <cfRule type="cellIs" dxfId="19" priority="11" operator="greaterThan">
      <formula>10</formula>
    </cfRule>
    <cfRule type="cellIs" dxfId="18" priority="12" operator="between">
      <formula>6</formula>
      <formula>10</formula>
    </cfRule>
    <cfRule type="cellIs" dxfId="17" priority="13" operator="between">
      <formula>3</formula>
      <formula>5</formula>
    </cfRule>
    <cfRule type="cellIs" dxfId="16" priority="14" operator="between">
      <formula>0</formula>
      <formula>2</formula>
    </cfRule>
  </conditionalFormatting>
  <conditionalFormatting sqref="F16">
    <cfRule type="cellIs" dxfId="15" priority="7" operator="equal">
      <formula>0</formula>
    </cfRule>
    <cfRule type="cellIs" dxfId="14" priority="8" operator="equal">
      <formula>2</formula>
    </cfRule>
    <cfRule type="cellIs" dxfId="13" priority="9" operator="equal">
      <formula>1</formula>
    </cfRule>
    <cfRule type="cellIs" dxfId="12" priority="10" operator="greaterThan">
      <formula>2</formula>
    </cfRule>
  </conditionalFormatting>
  <conditionalFormatting sqref="F14">
    <cfRule type="cellIs" dxfId="11" priority="3" operator="greaterThanOrEqual">
      <formula>30</formula>
    </cfRule>
    <cfRule type="cellIs" dxfId="10" priority="4" operator="between">
      <formula>20</formula>
      <formula>29</formula>
    </cfRule>
    <cfRule type="cellIs" dxfId="9" priority="5" operator="between">
      <formula>11</formula>
      <formula>19</formula>
    </cfRule>
    <cfRule type="cellIs" dxfId="8" priority="6" operator="lessThan">
      <formula>11</formula>
    </cfRule>
  </conditionalFormatting>
  <conditionalFormatting sqref="F34">
    <cfRule type="cellIs" dxfId="7" priority="1" operator="lessThan">
      <formula>1</formula>
    </cfRule>
    <cfRule type="cellIs" dxfId="6" priority="2" operator="greaterThanOrEqual">
      <formula>1</formula>
    </cfRule>
  </conditionalFormatting>
  <dataValidations count="3">
    <dataValidation type="list" allowBlank="1" showInputMessage="1" showErrorMessage="1" sqref="D29" xr:uid="{00000000-0002-0000-0400-000000000000}">
      <formula1>$A$12:$A$13</formula1>
    </dataValidation>
    <dataValidation type="list" allowBlank="1" showInputMessage="1" showErrorMessage="1" sqref="D4:F4" xr:uid="{00000000-0002-0000-0400-000001000000}">
      <formula1>$A$3:$A$5</formula1>
    </dataValidation>
    <dataValidation type="list" allowBlank="1" showInputMessage="1" showErrorMessage="1" sqref="D3:F3" xr:uid="{00000000-0002-0000-0400-000002000000}">
      <formula1>$A$3:$A$10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1:P66"/>
  <sheetViews>
    <sheetView showGridLines="0" zoomScaleNormal="100" workbookViewId="0">
      <selection activeCell="M53" sqref="M53"/>
    </sheetView>
  </sheetViews>
  <sheetFormatPr defaultColWidth="9.140625" defaultRowHeight="12" x14ac:dyDescent="0.2"/>
  <cols>
    <col min="1" max="1" width="1.7109375" style="105" customWidth="1"/>
    <col min="2" max="2" width="14.28515625" style="105" customWidth="1"/>
    <col min="3" max="4" width="10.5703125" style="105" customWidth="1"/>
    <col min="5" max="5" width="10.42578125" style="105" customWidth="1"/>
    <col min="6" max="6" width="10" style="105" customWidth="1"/>
    <col min="7" max="7" width="10.42578125" style="105" customWidth="1"/>
    <col min="8" max="8" width="1.42578125" style="105" customWidth="1"/>
    <col min="9" max="9" width="17.140625" style="105" customWidth="1"/>
    <col min="10" max="10" width="11.140625" style="105" customWidth="1"/>
    <col min="11" max="11" width="12.42578125" style="105" customWidth="1"/>
    <col min="12" max="12" width="12.28515625" style="105" customWidth="1"/>
    <col min="13" max="13" width="10.85546875" style="105" customWidth="1"/>
    <col min="14" max="14" width="11" style="105" customWidth="1"/>
    <col min="15" max="16384" width="9.140625" style="105"/>
  </cols>
  <sheetData>
    <row r="1" spans="2:13" ht="12.75" thickBot="1" x14ac:dyDescent="0.25"/>
    <row r="2" spans="2:13" ht="37.5" customHeight="1" thickBot="1" x14ac:dyDescent="0.25">
      <c r="B2" s="403" t="s">
        <v>92</v>
      </c>
      <c r="C2" s="404"/>
      <c r="D2" s="404"/>
      <c r="E2" s="404"/>
      <c r="F2" s="404"/>
      <c r="G2" s="404"/>
      <c r="H2" s="404"/>
      <c r="I2" s="404"/>
      <c r="J2" s="404"/>
      <c r="K2" s="404"/>
      <c r="L2" s="404"/>
      <c r="M2" s="405"/>
    </row>
    <row r="3" spans="2:13" s="102" customFormat="1" ht="11.25" customHeight="1" thickBot="1" x14ac:dyDescent="0.25">
      <c r="B3" s="112"/>
      <c r="C3" s="112"/>
      <c r="D3" s="112"/>
      <c r="E3" s="10"/>
      <c r="F3" s="10"/>
      <c r="G3" s="10"/>
      <c r="H3" s="10"/>
      <c r="I3" s="10"/>
      <c r="J3" s="10"/>
      <c r="K3" s="10"/>
      <c r="L3" s="10"/>
      <c r="M3" s="10"/>
    </row>
    <row r="4" spans="2:13" s="102" customFormat="1" ht="21" customHeight="1" thickBot="1" x14ac:dyDescent="0.25">
      <c r="B4" s="114" t="s">
        <v>21</v>
      </c>
      <c r="C4" s="406"/>
      <c r="D4" s="407"/>
      <c r="E4" s="113"/>
      <c r="F4" s="114" t="s">
        <v>0</v>
      </c>
      <c r="G4" s="134">
        <v>0.70833333333333337</v>
      </c>
      <c r="H4" s="10"/>
      <c r="I4" s="10"/>
      <c r="J4" s="10"/>
      <c r="K4" s="10"/>
      <c r="L4" s="10"/>
      <c r="M4" s="10"/>
    </row>
    <row r="5" spans="2:13" s="102" customFormat="1" ht="21" customHeight="1" x14ac:dyDescent="0.2"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2:13" ht="12.75" thickBot="1" x14ac:dyDescent="0.25"/>
    <row r="7" spans="2:13" ht="20.25" customHeight="1" x14ac:dyDescent="0.2">
      <c r="B7" s="495" t="s">
        <v>8</v>
      </c>
      <c r="C7" s="496"/>
      <c r="D7" s="496"/>
      <c r="E7" s="193">
        <f>SUM(E19:E43)</f>
        <v>0</v>
      </c>
      <c r="F7" s="102"/>
      <c r="G7" s="156"/>
      <c r="H7" s="410"/>
      <c r="I7" s="410"/>
      <c r="J7" s="410"/>
      <c r="K7" s="9"/>
      <c r="M7" s="105" t="s">
        <v>3</v>
      </c>
    </row>
    <row r="8" spans="2:13" ht="20.25" customHeight="1" x14ac:dyDescent="0.2">
      <c r="B8" s="411" t="s">
        <v>9</v>
      </c>
      <c r="C8" s="412"/>
      <c r="D8" s="412"/>
      <c r="E8" s="194">
        <f>('0830'!E8)</f>
        <v>4</v>
      </c>
      <c r="F8" s="13"/>
      <c r="G8" s="156"/>
      <c r="H8" s="410"/>
      <c r="I8" s="410"/>
      <c r="J8" s="410"/>
      <c r="K8" s="9"/>
    </row>
    <row r="9" spans="2:13" ht="20.25" customHeight="1" x14ac:dyDescent="0.2">
      <c r="B9" s="411" t="s">
        <v>10</v>
      </c>
      <c r="C9" s="412"/>
      <c r="D9" s="412"/>
      <c r="E9" s="195">
        <f>(E7+E8)</f>
        <v>4</v>
      </c>
      <c r="F9" s="13"/>
      <c r="G9" s="156"/>
      <c r="H9" s="410"/>
      <c r="I9" s="410"/>
      <c r="J9" s="410"/>
      <c r="K9" s="9"/>
    </row>
    <row r="10" spans="2:13" ht="20.25" customHeight="1" x14ac:dyDescent="0.2">
      <c r="B10" s="411" t="s">
        <v>104</v>
      </c>
      <c r="C10" s="412"/>
      <c r="D10" s="412"/>
      <c r="E10" s="196"/>
      <c r="F10" s="102"/>
      <c r="G10" s="156"/>
      <c r="H10" s="410"/>
      <c r="I10" s="410"/>
      <c r="J10" s="410"/>
      <c r="K10" s="9"/>
      <c r="L10" s="102"/>
      <c r="M10" s="102"/>
    </row>
    <row r="11" spans="2:13" ht="20.25" customHeight="1" x14ac:dyDescent="0.2">
      <c r="B11" s="411" t="s">
        <v>1</v>
      </c>
      <c r="C11" s="412"/>
      <c r="D11" s="412"/>
      <c r="E11" s="197">
        <f>(E8-E9)</f>
        <v>0</v>
      </c>
      <c r="F11" s="102"/>
      <c r="G11" s="156"/>
      <c r="H11" s="410"/>
      <c r="I11" s="410"/>
      <c r="J11" s="410"/>
      <c r="K11" s="9"/>
      <c r="L11" s="102"/>
      <c r="M11" s="102"/>
    </row>
    <row r="12" spans="2:13" ht="20.25" customHeight="1" x14ac:dyDescent="0.2">
      <c r="B12" s="411" t="s">
        <v>4</v>
      </c>
      <c r="C12" s="412"/>
      <c r="D12" s="412"/>
      <c r="E12" s="198">
        <f>SUM(D19:D42)</f>
        <v>0</v>
      </c>
      <c r="F12" s="102"/>
      <c r="G12" s="156"/>
      <c r="H12" s="410"/>
      <c r="I12" s="410"/>
      <c r="J12" s="410"/>
      <c r="K12" s="9"/>
      <c r="L12" s="100" t="s">
        <v>3</v>
      </c>
      <c r="M12" s="100"/>
    </row>
    <row r="13" spans="2:13" ht="20.25" customHeight="1" x14ac:dyDescent="0.2">
      <c r="B13" s="493" t="s">
        <v>93</v>
      </c>
      <c r="C13" s="494"/>
      <c r="D13" s="494"/>
      <c r="E13" s="199">
        <f>SUM(F19:F42)</f>
        <v>0</v>
      </c>
      <c r="F13" s="4"/>
      <c r="G13" s="156"/>
      <c r="H13" s="410"/>
      <c r="I13" s="410"/>
      <c r="J13" s="410"/>
      <c r="K13" s="9"/>
      <c r="L13" s="100"/>
      <c r="M13" s="100"/>
    </row>
    <row r="14" spans="2:13" ht="20.25" customHeight="1" thickBot="1" x14ac:dyDescent="0.3">
      <c r="B14" s="490" t="s">
        <v>103</v>
      </c>
      <c r="C14" s="491"/>
      <c r="D14" s="492"/>
      <c r="E14" s="200">
        <f>(E12+E13-E9)</f>
        <v>-4</v>
      </c>
      <c r="F14" s="4"/>
      <c r="G14" s="191"/>
      <c r="H14" s="191"/>
      <c r="I14" s="191"/>
      <c r="J14" s="191"/>
      <c r="K14" s="9"/>
      <c r="L14" s="100"/>
      <c r="M14" s="100"/>
    </row>
    <row r="15" spans="2:13" ht="12.75" customHeight="1" x14ac:dyDescent="0.2"/>
    <row r="16" spans="2:13" ht="3" customHeight="1" thickBot="1" x14ac:dyDescent="0.25"/>
    <row r="17" spans="2:16" ht="23.25" customHeight="1" thickBot="1" x14ac:dyDescent="0.25">
      <c r="B17" s="419" t="s">
        <v>12</v>
      </c>
      <c r="C17" s="420"/>
      <c r="D17" s="420"/>
      <c r="E17" s="420"/>
      <c r="F17" s="420"/>
      <c r="G17" s="421"/>
      <c r="H17" s="19"/>
      <c r="I17" s="419" t="s">
        <v>19</v>
      </c>
      <c r="J17" s="420"/>
      <c r="K17" s="420"/>
      <c r="L17" s="420"/>
      <c r="M17" s="421"/>
    </row>
    <row r="18" spans="2:16" ht="69.75" customHeight="1" thickBot="1" x14ac:dyDescent="0.25">
      <c r="B18" s="91" t="s">
        <v>5</v>
      </c>
      <c r="C18" s="89" t="s">
        <v>22</v>
      </c>
      <c r="D18" s="135" t="s">
        <v>89</v>
      </c>
      <c r="E18" s="90" t="s">
        <v>85</v>
      </c>
      <c r="F18" s="89" t="s">
        <v>96</v>
      </c>
      <c r="G18" s="90" t="s">
        <v>97</v>
      </c>
      <c r="H18" s="1"/>
      <c r="I18" s="16" t="s">
        <v>15</v>
      </c>
      <c r="J18" s="16" t="s">
        <v>16</v>
      </c>
      <c r="K18" s="16" t="s">
        <v>98</v>
      </c>
      <c r="L18" s="180" t="s">
        <v>17</v>
      </c>
      <c r="M18" s="180" t="s">
        <v>18</v>
      </c>
    </row>
    <row r="19" spans="2:16" ht="13.5" customHeight="1" x14ac:dyDescent="0.2">
      <c r="B19" s="148" t="s">
        <v>6</v>
      </c>
      <c r="C19" s="143">
        <v>37</v>
      </c>
      <c r="D19" s="140"/>
      <c r="E19" s="37"/>
      <c r="F19" s="37"/>
      <c r="G19" s="146"/>
      <c r="H19" s="102"/>
      <c r="I19" s="422"/>
      <c r="J19" s="425"/>
      <c r="K19" s="428"/>
      <c r="L19" s="422"/>
      <c r="M19" s="429"/>
    </row>
    <row r="20" spans="2:16" ht="12" customHeight="1" x14ac:dyDescent="0.2">
      <c r="B20" s="149" t="s">
        <v>157</v>
      </c>
      <c r="C20" s="144">
        <v>12</v>
      </c>
      <c r="D20" s="152"/>
      <c r="E20" s="107"/>
      <c r="F20" s="107"/>
      <c r="G20" s="154"/>
      <c r="H20" s="102"/>
      <c r="I20" s="423"/>
      <c r="J20" s="426"/>
      <c r="K20" s="423"/>
      <c r="L20" s="423"/>
      <c r="M20" s="430"/>
    </row>
    <row r="21" spans="2:16" ht="12.75" customHeight="1" thickBot="1" x14ac:dyDescent="0.25">
      <c r="B21" s="149">
        <v>5</v>
      </c>
      <c r="C21" s="144">
        <v>10</v>
      </c>
      <c r="D21" s="173" t="s">
        <v>94</v>
      </c>
      <c r="E21" s="107"/>
      <c r="F21" s="107"/>
      <c r="G21" s="154"/>
      <c r="H21" s="102"/>
      <c r="I21" s="424"/>
      <c r="J21" s="427"/>
      <c r="K21" s="424"/>
      <c r="L21" s="424"/>
      <c r="M21" s="431"/>
    </row>
    <row r="22" spans="2:16" ht="12.75" thickBot="1" x14ac:dyDescent="0.25">
      <c r="B22" s="149" t="s">
        <v>84</v>
      </c>
      <c r="C22" s="144">
        <v>10</v>
      </c>
      <c r="D22" s="173" t="s">
        <v>94</v>
      </c>
      <c r="E22" s="107"/>
      <c r="F22" s="107"/>
      <c r="G22" s="154"/>
      <c r="H22" s="102"/>
      <c r="I22" s="419" t="s">
        <v>14</v>
      </c>
      <c r="J22" s="420"/>
      <c r="K22" s="420"/>
      <c r="L22" s="420"/>
      <c r="M22" s="421"/>
    </row>
    <row r="23" spans="2:16" ht="12" customHeight="1" x14ac:dyDescent="0.2">
      <c r="B23" s="149">
        <v>9</v>
      </c>
      <c r="C23" s="144">
        <v>15</v>
      </c>
      <c r="D23" s="173" t="s">
        <v>94</v>
      </c>
      <c r="E23" s="107"/>
      <c r="F23" s="107"/>
      <c r="G23" s="154"/>
      <c r="H23" s="102"/>
      <c r="I23" s="432" t="s">
        <v>14</v>
      </c>
      <c r="J23" s="432" t="s">
        <v>95</v>
      </c>
      <c r="K23" s="432" t="s">
        <v>88</v>
      </c>
      <c r="L23" s="432" t="s">
        <v>87</v>
      </c>
      <c r="M23" s="432" t="s">
        <v>96</v>
      </c>
      <c r="N23" s="401" t="s">
        <v>22</v>
      </c>
    </row>
    <row r="24" spans="2:16" ht="12" customHeight="1" x14ac:dyDescent="0.2">
      <c r="B24" s="149">
        <v>10</v>
      </c>
      <c r="C24" s="144">
        <v>26</v>
      </c>
      <c r="D24" s="173" t="s">
        <v>94</v>
      </c>
      <c r="E24" s="107"/>
      <c r="F24" s="107"/>
      <c r="G24" s="154"/>
      <c r="H24" s="102"/>
      <c r="I24" s="433"/>
      <c r="J24" s="433"/>
      <c r="K24" s="434"/>
      <c r="L24" s="434"/>
      <c r="M24" s="434"/>
      <c r="N24" s="402"/>
    </row>
    <row r="25" spans="2:16" ht="12" customHeight="1" thickBot="1" x14ac:dyDescent="0.25">
      <c r="B25" s="149">
        <v>13</v>
      </c>
      <c r="C25" s="144">
        <v>26</v>
      </c>
      <c r="D25" s="173" t="s">
        <v>94</v>
      </c>
      <c r="E25" s="107"/>
      <c r="F25" s="107"/>
      <c r="G25" s="154"/>
      <c r="H25" s="102"/>
      <c r="I25" s="433"/>
      <c r="J25" s="433"/>
      <c r="K25" s="434"/>
      <c r="L25" s="434"/>
      <c r="M25" s="434"/>
      <c r="N25" s="402"/>
    </row>
    <row r="26" spans="2:16" x14ac:dyDescent="0.2">
      <c r="B26" s="150">
        <v>22</v>
      </c>
      <c r="C26" s="144">
        <v>4</v>
      </c>
      <c r="D26" s="139"/>
      <c r="E26" s="107"/>
      <c r="F26" s="107"/>
      <c r="G26" s="154"/>
      <c r="H26" s="102"/>
      <c r="I26" s="157" t="s">
        <v>160</v>
      </c>
      <c r="J26" s="159"/>
      <c r="K26" s="106"/>
      <c r="L26" s="106"/>
      <c r="M26" s="146"/>
      <c r="N26" s="237">
        <v>28</v>
      </c>
    </row>
    <row r="27" spans="2:16" x14ac:dyDescent="0.2">
      <c r="B27" s="149">
        <v>22</v>
      </c>
      <c r="C27" s="144">
        <v>16</v>
      </c>
      <c r="D27" s="152"/>
      <c r="E27" s="107"/>
      <c r="F27" s="107"/>
      <c r="G27" s="154"/>
      <c r="H27" s="102"/>
      <c r="I27" s="158" t="s">
        <v>162</v>
      </c>
      <c r="J27" s="26"/>
      <c r="K27" s="108"/>
      <c r="L27" s="108"/>
      <c r="M27" s="109"/>
      <c r="N27" s="237">
        <v>6</v>
      </c>
    </row>
    <row r="28" spans="2:16" ht="12" customHeight="1" x14ac:dyDescent="0.2">
      <c r="B28" s="149">
        <v>23</v>
      </c>
      <c r="C28" s="144">
        <v>26</v>
      </c>
      <c r="D28" s="152"/>
      <c r="E28" s="107"/>
      <c r="F28" s="107"/>
      <c r="G28" s="154"/>
      <c r="H28" s="102"/>
      <c r="I28" s="158" t="s">
        <v>161</v>
      </c>
      <c r="J28" s="160"/>
      <c r="K28" s="108"/>
      <c r="L28" s="108"/>
      <c r="M28" s="109"/>
      <c r="N28" s="237">
        <v>4</v>
      </c>
      <c r="P28" s="105" t="s">
        <v>3</v>
      </c>
    </row>
    <row r="29" spans="2:16" ht="12" customHeight="1" x14ac:dyDescent="0.2">
      <c r="B29" s="149">
        <v>32</v>
      </c>
      <c r="C29" s="144">
        <v>23</v>
      </c>
      <c r="D29" s="152"/>
      <c r="E29" s="107"/>
      <c r="F29" s="107"/>
      <c r="G29" s="154"/>
      <c r="H29" s="102"/>
      <c r="I29" s="218" t="s">
        <v>159</v>
      </c>
      <c r="J29" s="26"/>
      <c r="K29" s="21"/>
      <c r="L29" s="21"/>
      <c r="M29" s="125"/>
      <c r="N29" s="237">
        <v>11</v>
      </c>
    </row>
    <row r="30" spans="2:16" ht="12.75" customHeight="1" x14ac:dyDescent="0.2">
      <c r="B30" s="150">
        <v>34</v>
      </c>
      <c r="C30" s="144">
        <v>4</v>
      </c>
      <c r="D30" s="152"/>
      <c r="E30" s="107"/>
      <c r="F30" s="107"/>
      <c r="G30" s="154"/>
      <c r="H30" s="102"/>
      <c r="I30" s="158" t="s">
        <v>115</v>
      </c>
      <c r="J30" s="26"/>
      <c r="K30" s="108"/>
      <c r="L30" s="108"/>
      <c r="M30" s="109"/>
      <c r="N30" s="237">
        <v>3</v>
      </c>
    </row>
    <row r="31" spans="2:16" x14ac:dyDescent="0.2">
      <c r="B31" s="149">
        <v>34</v>
      </c>
      <c r="C31" s="144">
        <v>16</v>
      </c>
      <c r="D31" s="152"/>
      <c r="E31" s="107"/>
      <c r="F31" s="107"/>
      <c r="G31" s="154"/>
      <c r="H31" s="102"/>
      <c r="I31" s="232" t="s">
        <v>114</v>
      </c>
      <c r="J31" s="233"/>
      <c r="K31" s="231"/>
      <c r="L31" s="231"/>
      <c r="M31" s="77"/>
      <c r="N31" s="237">
        <v>8</v>
      </c>
    </row>
    <row r="32" spans="2:16" ht="15.75" thickBot="1" x14ac:dyDescent="0.3">
      <c r="B32" s="150">
        <v>41</v>
      </c>
      <c r="C32" s="144">
        <v>21</v>
      </c>
      <c r="D32" s="152"/>
      <c r="E32" s="107"/>
      <c r="F32" s="107"/>
      <c r="G32" s="154"/>
      <c r="H32" s="102"/>
      <c r="I32" s="243"/>
      <c r="J32" s="161"/>
      <c r="K32" s="22"/>
      <c r="L32" s="22"/>
      <c r="M32" s="23"/>
      <c r="N32" s="238"/>
    </row>
    <row r="33" spans="2:13" ht="12.75" customHeight="1" thickBot="1" x14ac:dyDescent="0.25">
      <c r="B33" s="149">
        <v>42</v>
      </c>
      <c r="C33" s="144">
        <v>24</v>
      </c>
      <c r="D33" s="152"/>
      <c r="E33" s="107"/>
      <c r="F33" s="107"/>
      <c r="G33" s="154"/>
      <c r="H33" s="1"/>
      <c r="I33" s="1"/>
      <c r="J33" s="436"/>
      <c r="K33" s="436"/>
      <c r="L33" s="436"/>
      <c r="M33" s="436"/>
    </row>
    <row r="34" spans="2:13" ht="12.75" thickBot="1" x14ac:dyDescent="0.25">
      <c r="B34" s="150">
        <v>43</v>
      </c>
      <c r="C34" s="144">
        <v>19</v>
      </c>
      <c r="D34" s="152"/>
      <c r="E34" s="107"/>
      <c r="F34" s="107"/>
      <c r="G34" s="154"/>
      <c r="H34" s="102"/>
      <c r="I34" s="437" t="s">
        <v>30</v>
      </c>
      <c r="J34" s="438"/>
      <c r="K34" s="438"/>
      <c r="L34" s="438"/>
      <c r="M34" s="439"/>
    </row>
    <row r="35" spans="2:13" ht="12.75" customHeight="1" x14ac:dyDescent="0.2">
      <c r="B35" s="149">
        <v>44</v>
      </c>
      <c r="C35" s="144">
        <v>30</v>
      </c>
      <c r="D35" s="152"/>
      <c r="E35" s="107"/>
      <c r="F35" s="107"/>
      <c r="G35" s="154"/>
      <c r="H35" s="1"/>
      <c r="I35" s="440" t="s">
        <v>31</v>
      </c>
      <c r="J35" s="442" t="s">
        <v>90</v>
      </c>
      <c r="K35" s="442" t="s">
        <v>13</v>
      </c>
      <c r="L35" s="442" t="s">
        <v>32</v>
      </c>
      <c r="M35" s="444" t="s">
        <v>91</v>
      </c>
    </row>
    <row r="36" spans="2:13" ht="12.75" customHeight="1" thickBot="1" x14ac:dyDescent="0.25">
      <c r="B36" s="150">
        <v>51</v>
      </c>
      <c r="C36" s="144">
        <v>10</v>
      </c>
      <c r="D36" s="139"/>
      <c r="E36" s="107"/>
      <c r="F36" s="107"/>
      <c r="G36" s="154"/>
      <c r="H36" s="1"/>
      <c r="I36" s="441"/>
      <c r="J36" s="443"/>
      <c r="K36" s="443"/>
      <c r="L36" s="443"/>
      <c r="M36" s="445"/>
    </row>
    <row r="37" spans="2:13" x14ac:dyDescent="0.2">
      <c r="B37" s="150">
        <v>53</v>
      </c>
      <c r="C37" s="144">
        <v>24</v>
      </c>
      <c r="D37" s="139"/>
      <c r="E37" s="107"/>
      <c r="F37" s="107"/>
      <c r="G37" s="154"/>
      <c r="H37" s="102"/>
      <c r="I37" s="446"/>
      <c r="J37" s="449"/>
      <c r="K37" s="449"/>
      <c r="L37" s="449"/>
      <c r="M37" s="449"/>
    </row>
    <row r="38" spans="2:13" x14ac:dyDescent="0.2">
      <c r="B38" s="149" t="s">
        <v>158</v>
      </c>
      <c r="C38" s="144">
        <v>10</v>
      </c>
      <c r="D38" s="152"/>
      <c r="E38" s="107"/>
      <c r="F38" s="107"/>
      <c r="G38" s="154"/>
      <c r="H38" s="102"/>
      <c r="I38" s="447"/>
      <c r="J38" s="450"/>
      <c r="K38" s="450"/>
      <c r="L38" s="450"/>
      <c r="M38" s="450"/>
    </row>
    <row r="39" spans="2:13" ht="13.5" customHeight="1" thickBot="1" x14ac:dyDescent="0.25">
      <c r="B39" s="149">
        <v>31</v>
      </c>
      <c r="C39" s="144">
        <v>24</v>
      </c>
      <c r="D39" s="152"/>
      <c r="E39" s="107"/>
      <c r="F39" s="107"/>
      <c r="G39" s="154"/>
      <c r="H39" s="102"/>
      <c r="I39" s="448"/>
      <c r="J39" s="451"/>
      <c r="K39" s="451"/>
      <c r="L39" s="451"/>
      <c r="M39" s="451"/>
    </row>
    <row r="40" spans="2:13" ht="13.5" customHeight="1" thickBot="1" x14ac:dyDescent="0.25">
      <c r="B40" s="149">
        <v>33</v>
      </c>
      <c r="C40" s="144">
        <v>23</v>
      </c>
      <c r="D40" s="152"/>
      <c r="E40" s="107"/>
      <c r="F40" s="107"/>
      <c r="G40" s="154"/>
      <c r="H40" s="102"/>
      <c r="J40" s="31"/>
      <c r="K40" s="435"/>
      <c r="L40" s="435"/>
      <c r="M40" s="104"/>
    </row>
    <row r="41" spans="2:13" ht="12.75" thickBot="1" x14ac:dyDescent="0.25">
      <c r="B41" s="149">
        <v>52</v>
      </c>
      <c r="C41" s="144">
        <v>24</v>
      </c>
      <c r="D41" s="152"/>
      <c r="E41" s="107"/>
      <c r="F41" s="107"/>
      <c r="G41" s="154"/>
      <c r="H41" s="102"/>
      <c r="I41" s="452" t="s">
        <v>34</v>
      </c>
      <c r="J41" s="453"/>
      <c r="K41" s="453"/>
      <c r="L41" s="453"/>
      <c r="M41" s="454"/>
    </row>
    <row r="42" spans="2:13" ht="12" customHeight="1" thickBot="1" x14ac:dyDescent="0.25">
      <c r="B42" s="151">
        <v>54</v>
      </c>
      <c r="C42" s="147">
        <v>24</v>
      </c>
      <c r="D42" s="172"/>
      <c r="E42" s="141"/>
      <c r="F42" s="141"/>
      <c r="G42" s="110"/>
      <c r="H42" s="102"/>
      <c r="I42" s="455" t="s">
        <v>31</v>
      </c>
      <c r="J42" s="456" t="s">
        <v>90</v>
      </c>
      <c r="K42" s="456" t="s">
        <v>13</v>
      </c>
      <c r="L42" s="456" t="s">
        <v>32</v>
      </c>
      <c r="M42" s="457" t="s">
        <v>91</v>
      </c>
    </row>
    <row r="43" spans="2:13" ht="12.95" customHeight="1" thickBot="1" x14ac:dyDescent="0.25">
      <c r="B43" s="137" t="s">
        <v>24</v>
      </c>
      <c r="C43" s="121"/>
      <c r="D43" s="121"/>
      <c r="E43" s="138"/>
      <c r="F43" s="121"/>
      <c r="G43" s="187"/>
      <c r="H43" s="102"/>
      <c r="I43" s="441"/>
      <c r="J43" s="443"/>
      <c r="K43" s="443"/>
      <c r="L43" s="443"/>
      <c r="M43" s="445"/>
    </row>
    <row r="44" spans="2:13" ht="17.100000000000001" customHeight="1" thickBot="1" x14ac:dyDescent="0.25">
      <c r="B44" s="28" t="s">
        <v>11</v>
      </c>
      <c r="C44" s="29">
        <f>SUM(C19:C42)</f>
        <v>458</v>
      </c>
      <c r="D44" s="30">
        <f>SUM(D19:D42)</f>
        <v>0</v>
      </c>
      <c r="E44" s="30">
        <f>SUM(E19:E42)</f>
        <v>0</v>
      </c>
      <c r="F44" s="30">
        <f>SUM(F19:F42)</f>
        <v>0</v>
      </c>
      <c r="G44" s="30">
        <f>SUM(G19:G42)</f>
        <v>0</v>
      </c>
      <c r="I44" s="465"/>
      <c r="J44" s="465"/>
      <c r="K44" s="465"/>
      <c r="L44" s="465"/>
      <c r="M44" s="465"/>
    </row>
    <row r="45" spans="2:13" ht="12.75" thickBot="1" x14ac:dyDescent="0.25">
      <c r="B45" s="463" t="s">
        <v>83</v>
      </c>
      <c r="C45" s="464"/>
      <c r="D45" s="94"/>
      <c r="E45" s="82"/>
      <c r="F45" s="102"/>
      <c r="G45" s="102"/>
      <c r="H45" s="102"/>
      <c r="I45" s="466"/>
      <c r="J45" s="466"/>
      <c r="K45" s="466"/>
      <c r="L45" s="466"/>
      <c r="M45" s="466"/>
    </row>
    <row r="46" spans="2:13" ht="12.75" thickBot="1" x14ac:dyDescent="0.25">
      <c r="B46" s="39"/>
      <c r="C46" s="39"/>
      <c r="D46" s="102"/>
      <c r="E46" s="102"/>
      <c r="F46" s="6"/>
      <c r="G46" s="102"/>
      <c r="H46" s="102"/>
      <c r="I46" s="467"/>
      <c r="J46" s="467"/>
      <c r="K46" s="467"/>
      <c r="L46" s="467"/>
      <c r="M46" s="467"/>
    </row>
    <row r="47" spans="2:13" ht="12.75" thickBot="1" x14ac:dyDescent="0.25">
      <c r="B47" s="9"/>
      <c r="C47" s="104"/>
      <c r="D47" s="104"/>
      <c r="E47" s="31"/>
      <c r="F47" s="31"/>
      <c r="G47" s="31"/>
    </row>
    <row r="48" spans="2:13" ht="12.75" thickBot="1" x14ac:dyDescent="0.25">
      <c r="B48" s="419" t="s">
        <v>102</v>
      </c>
      <c r="C48" s="420"/>
      <c r="D48" s="420"/>
      <c r="E48" s="420"/>
      <c r="F48" s="420"/>
      <c r="G48" s="421"/>
      <c r="I48" s="458" t="s">
        <v>23</v>
      </c>
      <c r="J48" s="459"/>
      <c r="K48" s="459"/>
      <c r="L48" s="459"/>
      <c r="M48" s="460"/>
    </row>
    <row r="49" spans="2:14" ht="24" customHeight="1" thickBot="1" x14ac:dyDescent="0.25">
      <c r="B49" s="127" t="s">
        <v>5</v>
      </c>
      <c r="C49" s="128" t="s">
        <v>22</v>
      </c>
      <c r="D49" s="129" t="s">
        <v>89</v>
      </c>
      <c r="E49" s="130" t="s">
        <v>85</v>
      </c>
      <c r="F49" s="128" t="s">
        <v>96</v>
      </c>
      <c r="G49" s="130" t="s">
        <v>86</v>
      </c>
      <c r="I49" s="99" t="s">
        <v>5</v>
      </c>
      <c r="J49" s="461" t="s">
        <v>7</v>
      </c>
      <c r="K49" s="461"/>
      <c r="L49" s="461" t="s">
        <v>71</v>
      </c>
      <c r="M49" s="462"/>
    </row>
    <row r="50" spans="2:14" ht="24" customHeight="1" x14ac:dyDescent="0.2">
      <c r="B50" s="181" t="s">
        <v>99</v>
      </c>
      <c r="C50" s="86">
        <v>9</v>
      </c>
      <c r="D50" s="115"/>
      <c r="E50" s="25"/>
      <c r="F50" s="106"/>
      <c r="G50" s="146"/>
      <c r="I50" s="174"/>
      <c r="J50" s="175"/>
      <c r="K50" s="175"/>
      <c r="L50" s="175"/>
      <c r="M50" s="176"/>
    </row>
    <row r="51" spans="2:14" ht="24" customHeight="1" x14ac:dyDescent="0.2">
      <c r="B51" s="182" t="s">
        <v>100</v>
      </c>
      <c r="C51" s="87">
        <v>4</v>
      </c>
      <c r="D51" s="115"/>
      <c r="E51" s="101"/>
      <c r="F51" s="107"/>
      <c r="G51" s="154"/>
      <c r="I51" s="174"/>
      <c r="J51" s="175"/>
      <c r="K51" s="175"/>
      <c r="L51" s="175"/>
      <c r="M51" s="176"/>
      <c r="N51" s="105" t="s">
        <v>3</v>
      </c>
    </row>
    <row r="52" spans="2:14" ht="24" customHeight="1" x14ac:dyDescent="0.2">
      <c r="B52" s="182" t="s">
        <v>25</v>
      </c>
      <c r="C52" s="87">
        <v>11</v>
      </c>
      <c r="D52" s="115"/>
      <c r="E52" s="26"/>
      <c r="F52" s="107"/>
      <c r="G52" s="154"/>
      <c r="I52" s="174"/>
      <c r="J52" s="175"/>
      <c r="K52" s="175"/>
      <c r="L52" s="175"/>
      <c r="M52" s="176"/>
    </row>
    <row r="53" spans="2:14" ht="24" customHeight="1" thickBot="1" x14ac:dyDescent="0.25">
      <c r="B53" s="183" t="s">
        <v>99</v>
      </c>
      <c r="C53" s="87">
        <v>10</v>
      </c>
      <c r="D53" s="115"/>
      <c r="E53" s="26"/>
      <c r="F53" s="107"/>
      <c r="G53" s="154"/>
      <c r="I53" s="177"/>
      <c r="J53" s="178"/>
      <c r="K53" s="178"/>
      <c r="L53" s="178"/>
      <c r="M53" s="179"/>
      <c r="N53" s="105" t="s">
        <v>3</v>
      </c>
    </row>
    <row r="54" spans="2:14" ht="24" customHeight="1" x14ac:dyDescent="0.2">
      <c r="B54" s="183" t="s">
        <v>116</v>
      </c>
      <c r="C54" s="87">
        <v>3</v>
      </c>
      <c r="D54" s="115"/>
      <c r="E54" s="26"/>
      <c r="F54" s="107"/>
      <c r="G54" s="154"/>
      <c r="I54" s="267"/>
      <c r="J54" s="267"/>
      <c r="K54" s="267"/>
      <c r="L54" s="267"/>
      <c r="M54" s="267"/>
    </row>
    <row r="55" spans="2:14" ht="24" customHeight="1" x14ac:dyDescent="0.2">
      <c r="B55" s="183" t="s">
        <v>100</v>
      </c>
      <c r="C55" s="87">
        <v>3</v>
      </c>
      <c r="D55" s="115"/>
      <c r="E55" s="26"/>
      <c r="F55" s="107"/>
      <c r="G55" s="154"/>
      <c r="H55" s="102"/>
      <c r="I55" s="97"/>
      <c r="J55" s="97"/>
      <c r="K55" s="97"/>
      <c r="L55" s="97"/>
      <c r="M55" s="97"/>
      <c r="N55" s="105" t="s">
        <v>3</v>
      </c>
    </row>
    <row r="56" spans="2:14" ht="24" customHeight="1" x14ac:dyDescent="0.2">
      <c r="B56" s="183" t="s">
        <v>25</v>
      </c>
      <c r="C56" s="87">
        <v>13</v>
      </c>
      <c r="D56" s="115"/>
      <c r="E56" s="26"/>
      <c r="F56" s="107"/>
      <c r="G56" s="154"/>
      <c r="H56" s="102"/>
      <c r="I56" s="97"/>
      <c r="J56" s="97"/>
      <c r="K56" s="97"/>
      <c r="L56" s="97"/>
      <c r="M56" s="97"/>
    </row>
    <row r="57" spans="2:14" ht="24" customHeight="1" x14ac:dyDescent="0.2">
      <c r="B57" s="184" t="s">
        <v>101</v>
      </c>
      <c r="C57" s="87">
        <v>18</v>
      </c>
      <c r="D57" s="133"/>
      <c r="E57" s="40"/>
      <c r="F57" s="27"/>
      <c r="G57" s="189"/>
      <c r="H57" s="102"/>
      <c r="I57" s="97"/>
      <c r="J57" s="97"/>
      <c r="K57" s="97"/>
      <c r="L57" s="97"/>
      <c r="M57" s="97"/>
    </row>
    <row r="58" spans="2:14" ht="24" customHeight="1" x14ac:dyDescent="0.2">
      <c r="B58" s="185" t="s">
        <v>101</v>
      </c>
      <c r="C58" s="88">
        <v>8</v>
      </c>
      <c r="D58" s="133"/>
      <c r="E58" s="40"/>
      <c r="F58" s="27"/>
      <c r="G58" s="189"/>
      <c r="H58" s="102"/>
      <c r="I58" s="97"/>
      <c r="J58" s="97"/>
      <c r="K58" s="97"/>
      <c r="L58" s="97"/>
      <c r="M58" s="97"/>
    </row>
    <row r="59" spans="2:14" ht="24" customHeight="1" x14ac:dyDescent="0.2">
      <c r="B59" s="186" t="s">
        <v>26</v>
      </c>
      <c r="C59" s="88">
        <v>17</v>
      </c>
      <c r="D59" s="133"/>
      <c r="E59" s="40"/>
      <c r="F59" s="27"/>
      <c r="G59" s="189"/>
      <c r="I59" s="97"/>
      <c r="J59" s="97"/>
      <c r="K59" s="97"/>
      <c r="L59" s="97"/>
      <c r="M59" s="97"/>
    </row>
    <row r="60" spans="2:14" ht="15.75" customHeight="1" thickBot="1" x14ac:dyDescent="0.25">
      <c r="B60" s="185" t="s">
        <v>26</v>
      </c>
      <c r="C60" s="88">
        <v>3</v>
      </c>
      <c r="D60" s="133"/>
      <c r="E60" s="40"/>
      <c r="F60" s="27"/>
      <c r="G60" s="189"/>
      <c r="J60" s="105" t="s">
        <v>3</v>
      </c>
    </row>
    <row r="61" spans="2:14" ht="12.75" thickBot="1" x14ac:dyDescent="0.25">
      <c r="B61" s="28" t="s">
        <v>11</v>
      </c>
      <c r="C61" s="78"/>
      <c r="D61" s="30">
        <f>SUM(D50:D60)</f>
        <v>0</v>
      </c>
      <c r="E61" s="30">
        <f>SUM(E50:E60)</f>
        <v>0</v>
      </c>
      <c r="F61" s="30">
        <f>SUM(F50:F60)</f>
        <v>0</v>
      </c>
      <c r="G61" s="30">
        <f>SUM(G50:G60)</f>
        <v>0</v>
      </c>
    </row>
    <row r="65" spans="5:11" x14ac:dyDescent="0.2">
      <c r="E65" s="105" t="s">
        <v>3</v>
      </c>
    </row>
    <row r="66" spans="5:11" x14ac:dyDescent="0.2">
      <c r="K66" s="105" t="s">
        <v>3</v>
      </c>
    </row>
  </sheetData>
  <sheetProtection selectLockedCells="1"/>
  <mergeCells count="60">
    <mergeCell ref="N23:N25"/>
    <mergeCell ref="I48:M48"/>
    <mergeCell ref="J49:K49"/>
    <mergeCell ref="L49:M49"/>
    <mergeCell ref="B45:C45"/>
    <mergeCell ref="I44:I46"/>
    <mergeCell ref="J44:J46"/>
    <mergeCell ref="K44:K46"/>
    <mergeCell ref="L44:L46"/>
    <mergeCell ref="M44:M46"/>
    <mergeCell ref="B48:G48"/>
    <mergeCell ref="I41:M41"/>
    <mergeCell ref="I42:I43"/>
    <mergeCell ref="J42:J43"/>
    <mergeCell ref="K42:K43"/>
    <mergeCell ref="L42:L43"/>
    <mergeCell ref="M42:M43"/>
    <mergeCell ref="K40:L40"/>
    <mergeCell ref="J33:M33"/>
    <mergeCell ref="I34:M34"/>
    <mergeCell ref="I35:I36"/>
    <mergeCell ref="J35:J36"/>
    <mergeCell ref="K35:K36"/>
    <mergeCell ref="L35:L36"/>
    <mergeCell ref="M35:M36"/>
    <mergeCell ref="I37:I39"/>
    <mergeCell ref="J37:J39"/>
    <mergeCell ref="K37:K39"/>
    <mergeCell ref="L37:L39"/>
    <mergeCell ref="M37:M39"/>
    <mergeCell ref="I22:M22"/>
    <mergeCell ref="I23:I25"/>
    <mergeCell ref="J23:J25"/>
    <mergeCell ref="K23:K25"/>
    <mergeCell ref="L23:L25"/>
    <mergeCell ref="M23:M25"/>
    <mergeCell ref="I19:I21"/>
    <mergeCell ref="J19:J21"/>
    <mergeCell ref="K19:K21"/>
    <mergeCell ref="L19:L21"/>
    <mergeCell ref="M19:M21"/>
    <mergeCell ref="B12:D12"/>
    <mergeCell ref="H12:J12"/>
    <mergeCell ref="B13:D13"/>
    <mergeCell ref="H13:J13"/>
    <mergeCell ref="I17:M17"/>
    <mergeCell ref="B17:G17"/>
    <mergeCell ref="B14:D14"/>
    <mergeCell ref="B9:D9"/>
    <mergeCell ref="H9:J9"/>
    <mergeCell ref="B10:D10"/>
    <mergeCell ref="H10:J10"/>
    <mergeCell ref="B11:D11"/>
    <mergeCell ref="H11:J11"/>
    <mergeCell ref="B2:M2"/>
    <mergeCell ref="C4:D4"/>
    <mergeCell ref="B7:D7"/>
    <mergeCell ref="H7:J7"/>
    <mergeCell ref="B8:D8"/>
    <mergeCell ref="H8:J8"/>
  </mergeCells>
  <conditionalFormatting sqref="M37:M40">
    <cfRule type="cellIs" dxfId="5" priority="8" operator="greaterThanOrEqual">
      <formula>1</formula>
    </cfRule>
  </conditionalFormatting>
  <conditionalFormatting sqref="M19:M21">
    <cfRule type="cellIs" dxfId="4" priority="2" operator="greaterThan">
      <formula>0</formula>
    </cfRule>
  </conditionalFormatting>
  <conditionalFormatting sqref="L19:L21">
    <cfRule type="cellIs" dxfId="3" priority="1" operator="greaterThan">
      <formula>0</formula>
    </cfRule>
  </conditionalFormatting>
  <pageMargins left="0.74803149606299213" right="0.74803149606299213" top="0.98425196850393704" bottom="0.98425196850393704" header="0.51181102362204722" footer="0.51181102362204722"/>
  <pageSetup paperSize="9" scale="57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B1:P66"/>
  <sheetViews>
    <sheetView showGridLines="0" topLeftCell="A25" zoomScaleNormal="100" workbookViewId="0">
      <selection activeCell="M53" sqref="M53"/>
    </sheetView>
  </sheetViews>
  <sheetFormatPr defaultColWidth="9.140625" defaultRowHeight="12" x14ac:dyDescent="0.2"/>
  <cols>
    <col min="1" max="1" width="1.7109375" style="105" customWidth="1"/>
    <col min="2" max="2" width="14.28515625" style="105" customWidth="1"/>
    <col min="3" max="4" width="10.5703125" style="105" customWidth="1"/>
    <col min="5" max="5" width="10.42578125" style="105" customWidth="1"/>
    <col min="6" max="6" width="10" style="105" customWidth="1"/>
    <col min="7" max="7" width="10.42578125" style="105" customWidth="1"/>
    <col min="8" max="8" width="1.42578125" style="105" customWidth="1"/>
    <col min="9" max="9" width="17" style="105" customWidth="1"/>
    <col min="10" max="10" width="11.140625" style="105" customWidth="1"/>
    <col min="11" max="11" width="12.42578125" style="105" customWidth="1"/>
    <col min="12" max="12" width="12.28515625" style="105" customWidth="1"/>
    <col min="13" max="13" width="10.85546875" style="105" customWidth="1"/>
    <col min="14" max="14" width="11.5703125" style="105" customWidth="1"/>
    <col min="15" max="16384" width="9.140625" style="105"/>
  </cols>
  <sheetData>
    <row r="1" spans="2:13" ht="12.75" thickBot="1" x14ac:dyDescent="0.25"/>
    <row r="2" spans="2:13" ht="37.5" customHeight="1" thickBot="1" x14ac:dyDescent="0.25">
      <c r="B2" s="403" t="s">
        <v>92</v>
      </c>
      <c r="C2" s="404"/>
      <c r="D2" s="404"/>
      <c r="E2" s="404"/>
      <c r="F2" s="404"/>
      <c r="G2" s="404"/>
      <c r="H2" s="404"/>
      <c r="I2" s="404"/>
      <c r="J2" s="404"/>
      <c r="K2" s="404"/>
      <c r="L2" s="404"/>
      <c r="M2" s="405"/>
    </row>
    <row r="3" spans="2:13" s="102" customFormat="1" ht="11.25" customHeight="1" thickBot="1" x14ac:dyDescent="0.25">
      <c r="B3" s="112"/>
      <c r="C3" s="112"/>
      <c r="D3" s="112"/>
      <c r="E3" s="10"/>
      <c r="F3" s="10"/>
      <c r="G3" s="10"/>
      <c r="H3" s="10"/>
      <c r="I3" s="10"/>
      <c r="J3" s="10"/>
      <c r="K3" s="10"/>
      <c r="L3" s="10"/>
      <c r="M3" s="10"/>
    </row>
    <row r="4" spans="2:13" s="102" customFormat="1" ht="21" customHeight="1" thickBot="1" x14ac:dyDescent="0.25">
      <c r="B4" s="114" t="s">
        <v>21</v>
      </c>
      <c r="C4" s="406"/>
      <c r="D4" s="407"/>
      <c r="E4" s="113"/>
      <c r="F4" s="114" t="s">
        <v>0</v>
      </c>
      <c r="G4" s="134">
        <v>0.79166666666666663</v>
      </c>
      <c r="H4" s="10"/>
      <c r="I4" s="10"/>
      <c r="J4" s="10"/>
      <c r="K4" s="10"/>
      <c r="L4" s="10"/>
      <c r="M4" s="10"/>
    </row>
    <row r="5" spans="2:13" s="102" customFormat="1" ht="21" customHeight="1" x14ac:dyDescent="0.2"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2:13" ht="12.75" thickBot="1" x14ac:dyDescent="0.25"/>
    <row r="7" spans="2:13" ht="20.25" customHeight="1" x14ac:dyDescent="0.2">
      <c r="B7" s="495" t="s">
        <v>8</v>
      </c>
      <c r="C7" s="496"/>
      <c r="D7" s="496"/>
      <c r="E7" s="193">
        <f>SUM(E19:E43)</f>
        <v>0</v>
      </c>
      <c r="F7" s="102"/>
      <c r="G7" s="156"/>
      <c r="H7" s="410"/>
      <c r="I7" s="410"/>
      <c r="J7" s="410"/>
      <c r="K7" s="9"/>
      <c r="M7" s="105" t="s">
        <v>3</v>
      </c>
    </row>
    <row r="8" spans="2:13" ht="20.25" customHeight="1" x14ac:dyDescent="0.2">
      <c r="B8" s="411" t="s">
        <v>9</v>
      </c>
      <c r="C8" s="412"/>
      <c r="D8" s="412"/>
      <c r="E8" s="194">
        <f>('0830'!E8)</f>
        <v>4</v>
      </c>
      <c r="F8" s="13"/>
      <c r="G8" s="156"/>
      <c r="H8" s="410"/>
      <c r="I8" s="410"/>
      <c r="J8" s="410"/>
      <c r="K8" s="9"/>
    </row>
    <row r="9" spans="2:13" ht="20.25" customHeight="1" x14ac:dyDescent="0.2">
      <c r="B9" s="411" t="s">
        <v>10</v>
      </c>
      <c r="C9" s="412"/>
      <c r="D9" s="412"/>
      <c r="E9" s="195">
        <f>(E7+E8)</f>
        <v>4</v>
      </c>
      <c r="F9" s="13"/>
      <c r="G9" s="156"/>
      <c r="H9" s="410"/>
      <c r="I9" s="410"/>
      <c r="J9" s="410"/>
      <c r="K9" s="9"/>
    </row>
    <row r="10" spans="2:13" ht="20.25" customHeight="1" x14ac:dyDescent="0.2">
      <c r="B10" s="411" t="s">
        <v>104</v>
      </c>
      <c r="C10" s="412"/>
      <c r="D10" s="412"/>
      <c r="E10" s="196"/>
      <c r="F10" s="102"/>
      <c r="G10" s="156"/>
      <c r="H10" s="410"/>
      <c r="I10" s="410"/>
      <c r="J10" s="410"/>
      <c r="K10" s="9"/>
      <c r="L10" s="102"/>
      <c r="M10" s="102"/>
    </row>
    <row r="11" spans="2:13" ht="20.25" customHeight="1" x14ac:dyDescent="0.2">
      <c r="B11" s="411" t="s">
        <v>1</v>
      </c>
      <c r="C11" s="412"/>
      <c r="D11" s="412"/>
      <c r="E11" s="197">
        <f>(E8-E9)</f>
        <v>0</v>
      </c>
      <c r="F11" s="102"/>
      <c r="G11" s="156"/>
      <c r="H11" s="410"/>
      <c r="I11" s="410"/>
      <c r="J11" s="410"/>
      <c r="K11" s="9"/>
      <c r="L11" s="102"/>
      <c r="M11" s="102"/>
    </row>
    <row r="12" spans="2:13" ht="20.25" customHeight="1" x14ac:dyDescent="0.2">
      <c r="B12" s="411" t="s">
        <v>4</v>
      </c>
      <c r="C12" s="412"/>
      <c r="D12" s="412"/>
      <c r="E12" s="198">
        <f>SUM(D19:D42)</f>
        <v>0</v>
      </c>
      <c r="F12" s="102"/>
      <c r="G12" s="156"/>
      <c r="H12" s="410"/>
      <c r="I12" s="410"/>
      <c r="J12" s="410"/>
      <c r="K12" s="9"/>
      <c r="L12" s="100" t="s">
        <v>3</v>
      </c>
      <c r="M12" s="100"/>
    </row>
    <row r="13" spans="2:13" ht="20.25" customHeight="1" x14ac:dyDescent="0.2">
      <c r="B13" s="493" t="s">
        <v>93</v>
      </c>
      <c r="C13" s="494"/>
      <c r="D13" s="494"/>
      <c r="E13" s="199">
        <f>SUM(F19:F42)</f>
        <v>0</v>
      </c>
      <c r="F13" s="4"/>
      <c r="G13" s="156"/>
      <c r="H13" s="410"/>
      <c r="I13" s="410"/>
      <c r="J13" s="410"/>
      <c r="K13" s="9"/>
      <c r="L13" s="100"/>
      <c r="M13" s="100"/>
    </row>
    <row r="14" spans="2:13" ht="20.25" customHeight="1" thickBot="1" x14ac:dyDescent="0.3">
      <c r="B14" s="490" t="s">
        <v>103</v>
      </c>
      <c r="C14" s="491"/>
      <c r="D14" s="492"/>
      <c r="E14" s="200">
        <f>(E12+E13-E9)</f>
        <v>-4</v>
      </c>
      <c r="F14" s="4"/>
      <c r="G14" s="191"/>
      <c r="H14" s="191"/>
      <c r="I14" s="191"/>
      <c r="J14" s="191"/>
      <c r="K14" s="9"/>
      <c r="L14" s="100"/>
      <c r="M14" s="100"/>
    </row>
    <row r="15" spans="2:13" ht="12.75" customHeight="1" x14ac:dyDescent="0.2"/>
    <row r="16" spans="2:13" ht="3" customHeight="1" thickBot="1" x14ac:dyDescent="0.25"/>
    <row r="17" spans="2:16" ht="23.25" customHeight="1" thickBot="1" x14ac:dyDescent="0.25">
      <c r="B17" s="419" t="s">
        <v>12</v>
      </c>
      <c r="C17" s="420"/>
      <c r="D17" s="420"/>
      <c r="E17" s="420"/>
      <c r="F17" s="420"/>
      <c r="G17" s="421"/>
      <c r="H17" s="19"/>
      <c r="I17" s="419" t="s">
        <v>19</v>
      </c>
      <c r="J17" s="420"/>
      <c r="K17" s="420"/>
      <c r="L17" s="420"/>
      <c r="M17" s="421"/>
    </row>
    <row r="18" spans="2:16" ht="69.75" customHeight="1" thickBot="1" x14ac:dyDescent="0.25">
      <c r="B18" s="91" t="s">
        <v>5</v>
      </c>
      <c r="C18" s="89" t="s">
        <v>22</v>
      </c>
      <c r="D18" s="135" t="s">
        <v>89</v>
      </c>
      <c r="E18" s="90" t="s">
        <v>85</v>
      </c>
      <c r="F18" s="89" t="s">
        <v>96</v>
      </c>
      <c r="G18" s="90" t="s">
        <v>97</v>
      </c>
      <c r="H18" s="1"/>
      <c r="I18" s="16" t="s">
        <v>15</v>
      </c>
      <c r="J18" s="16" t="s">
        <v>16</v>
      </c>
      <c r="K18" s="16" t="s">
        <v>98</v>
      </c>
      <c r="L18" s="180" t="s">
        <v>17</v>
      </c>
      <c r="M18" s="180" t="s">
        <v>18</v>
      </c>
    </row>
    <row r="19" spans="2:16" ht="13.5" customHeight="1" x14ac:dyDescent="0.2">
      <c r="B19" s="148" t="s">
        <v>6</v>
      </c>
      <c r="C19" s="143">
        <v>37</v>
      </c>
      <c r="D19" s="140"/>
      <c r="E19" s="37"/>
      <c r="F19" s="37"/>
      <c r="G19" s="146"/>
      <c r="H19" s="102"/>
      <c r="I19" s="422"/>
      <c r="J19" s="425"/>
      <c r="K19" s="428"/>
      <c r="L19" s="422"/>
      <c r="M19" s="429"/>
    </row>
    <row r="20" spans="2:16" ht="12" customHeight="1" x14ac:dyDescent="0.2">
      <c r="B20" s="149" t="s">
        <v>157</v>
      </c>
      <c r="C20" s="144">
        <v>12</v>
      </c>
      <c r="D20" s="152"/>
      <c r="E20" s="107"/>
      <c r="F20" s="107"/>
      <c r="G20" s="154"/>
      <c r="H20" s="102"/>
      <c r="I20" s="423"/>
      <c r="J20" s="426"/>
      <c r="K20" s="423"/>
      <c r="L20" s="423"/>
      <c r="M20" s="430"/>
    </row>
    <row r="21" spans="2:16" ht="12.75" customHeight="1" thickBot="1" x14ac:dyDescent="0.25">
      <c r="B21" s="149">
        <v>5</v>
      </c>
      <c r="C21" s="144">
        <v>10</v>
      </c>
      <c r="D21" s="173" t="s">
        <v>94</v>
      </c>
      <c r="E21" s="107"/>
      <c r="F21" s="107"/>
      <c r="G21" s="154"/>
      <c r="H21" s="102"/>
      <c r="I21" s="424"/>
      <c r="J21" s="427"/>
      <c r="K21" s="424"/>
      <c r="L21" s="424"/>
      <c r="M21" s="431"/>
    </row>
    <row r="22" spans="2:16" ht="12.75" thickBot="1" x14ac:dyDescent="0.25">
      <c r="B22" s="149" t="s">
        <v>84</v>
      </c>
      <c r="C22" s="144">
        <v>10</v>
      </c>
      <c r="D22" s="173" t="s">
        <v>94</v>
      </c>
      <c r="E22" s="107"/>
      <c r="F22" s="107"/>
      <c r="G22" s="154"/>
      <c r="H22" s="102"/>
      <c r="I22" s="419" t="s">
        <v>14</v>
      </c>
      <c r="J22" s="420"/>
      <c r="K22" s="420"/>
      <c r="L22" s="420"/>
      <c r="M22" s="421"/>
    </row>
    <row r="23" spans="2:16" ht="12" customHeight="1" x14ac:dyDescent="0.2">
      <c r="B23" s="149">
        <v>9</v>
      </c>
      <c r="C23" s="144">
        <v>15</v>
      </c>
      <c r="D23" s="173" t="s">
        <v>94</v>
      </c>
      <c r="E23" s="107"/>
      <c r="F23" s="107"/>
      <c r="G23" s="154"/>
      <c r="H23" s="102"/>
      <c r="I23" s="432" t="s">
        <v>14</v>
      </c>
      <c r="J23" s="432" t="s">
        <v>95</v>
      </c>
      <c r="K23" s="432" t="s">
        <v>88</v>
      </c>
      <c r="L23" s="432" t="s">
        <v>87</v>
      </c>
      <c r="M23" s="432" t="s">
        <v>96</v>
      </c>
      <c r="N23" s="401" t="s">
        <v>22</v>
      </c>
    </row>
    <row r="24" spans="2:16" ht="12" customHeight="1" x14ac:dyDescent="0.2">
      <c r="B24" s="149">
        <v>10</v>
      </c>
      <c r="C24" s="144">
        <v>26</v>
      </c>
      <c r="D24" s="173" t="s">
        <v>94</v>
      </c>
      <c r="E24" s="107"/>
      <c r="F24" s="107"/>
      <c r="G24" s="154"/>
      <c r="H24" s="102"/>
      <c r="I24" s="433"/>
      <c r="J24" s="433"/>
      <c r="K24" s="434"/>
      <c r="L24" s="434"/>
      <c r="M24" s="434"/>
      <c r="N24" s="402"/>
    </row>
    <row r="25" spans="2:16" ht="12" customHeight="1" thickBot="1" x14ac:dyDescent="0.25">
      <c r="B25" s="149">
        <v>13</v>
      </c>
      <c r="C25" s="144">
        <v>26</v>
      </c>
      <c r="D25" s="173" t="s">
        <v>94</v>
      </c>
      <c r="E25" s="107"/>
      <c r="F25" s="107"/>
      <c r="G25" s="154"/>
      <c r="H25" s="102"/>
      <c r="I25" s="433"/>
      <c r="J25" s="433"/>
      <c r="K25" s="434"/>
      <c r="L25" s="434"/>
      <c r="M25" s="434"/>
      <c r="N25" s="402"/>
    </row>
    <row r="26" spans="2:16" ht="12" customHeight="1" x14ac:dyDescent="0.2">
      <c r="B26" s="150">
        <v>22</v>
      </c>
      <c r="C26" s="144">
        <v>4</v>
      </c>
      <c r="D26" s="139"/>
      <c r="E26" s="107"/>
      <c r="F26" s="107"/>
      <c r="G26" s="154"/>
      <c r="H26" s="102"/>
      <c r="I26" s="157" t="s">
        <v>160</v>
      </c>
      <c r="J26" s="159"/>
      <c r="K26" s="106"/>
      <c r="L26" s="106"/>
      <c r="M26" s="146"/>
      <c r="N26" s="237">
        <v>28</v>
      </c>
    </row>
    <row r="27" spans="2:16" x14ac:dyDescent="0.2">
      <c r="B27" s="149">
        <v>22</v>
      </c>
      <c r="C27" s="144">
        <v>16</v>
      </c>
      <c r="D27" s="152"/>
      <c r="E27" s="107"/>
      <c r="F27" s="107"/>
      <c r="G27" s="154"/>
      <c r="H27" s="102"/>
      <c r="I27" s="158" t="s">
        <v>162</v>
      </c>
      <c r="J27" s="26"/>
      <c r="K27" s="108"/>
      <c r="L27" s="108"/>
      <c r="M27" s="109"/>
      <c r="N27" s="237">
        <v>6</v>
      </c>
    </row>
    <row r="28" spans="2:16" ht="12" customHeight="1" x14ac:dyDescent="0.2">
      <c r="B28" s="149">
        <v>23</v>
      </c>
      <c r="C28" s="144">
        <v>26</v>
      </c>
      <c r="D28" s="152"/>
      <c r="E28" s="107"/>
      <c r="F28" s="107"/>
      <c r="G28" s="154"/>
      <c r="H28" s="102"/>
      <c r="I28" s="158" t="s">
        <v>161</v>
      </c>
      <c r="J28" s="160"/>
      <c r="K28" s="108"/>
      <c r="L28" s="108"/>
      <c r="M28" s="109"/>
      <c r="N28" s="237">
        <v>4</v>
      </c>
      <c r="P28" s="105" t="s">
        <v>3</v>
      </c>
    </row>
    <row r="29" spans="2:16" ht="12" customHeight="1" x14ac:dyDescent="0.2">
      <c r="B29" s="149">
        <v>32</v>
      </c>
      <c r="C29" s="144">
        <v>23</v>
      </c>
      <c r="D29" s="152"/>
      <c r="E29" s="107"/>
      <c r="F29" s="107"/>
      <c r="G29" s="154"/>
      <c r="H29" s="102"/>
      <c r="I29" s="218" t="s">
        <v>159</v>
      </c>
      <c r="J29" s="26"/>
      <c r="K29" s="21"/>
      <c r="L29" s="21"/>
      <c r="M29" s="125"/>
      <c r="N29" s="237">
        <v>11</v>
      </c>
    </row>
    <row r="30" spans="2:16" ht="12.75" customHeight="1" x14ac:dyDescent="0.2">
      <c r="B30" s="150">
        <v>34</v>
      </c>
      <c r="C30" s="144">
        <v>4</v>
      </c>
      <c r="D30" s="152"/>
      <c r="E30" s="107"/>
      <c r="F30" s="107"/>
      <c r="G30" s="154"/>
      <c r="H30" s="102"/>
      <c r="I30" s="158" t="s">
        <v>115</v>
      </c>
      <c r="J30" s="26"/>
      <c r="K30" s="108"/>
      <c r="L30" s="108"/>
      <c r="M30" s="109"/>
      <c r="N30" s="237">
        <v>3</v>
      </c>
    </row>
    <row r="31" spans="2:16" x14ac:dyDescent="0.2">
      <c r="B31" s="149">
        <v>34</v>
      </c>
      <c r="C31" s="144">
        <v>16</v>
      </c>
      <c r="D31" s="152"/>
      <c r="E31" s="107"/>
      <c r="F31" s="107"/>
      <c r="G31" s="154"/>
      <c r="H31" s="102"/>
      <c r="I31" s="232" t="s">
        <v>114</v>
      </c>
      <c r="J31" s="233"/>
      <c r="K31" s="231"/>
      <c r="L31" s="231"/>
      <c r="M31" s="77"/>
      <c r="N31" s="237">
        <v>8</v>
      </c>
    </row>
    <row r="32" spans="2:16" ht="15.75" thickBot="1" x14ac:dyDescent="0.3">
      <c r="B32" s="150">
        <v>41</v>
      </c>
      <c r="C32" s="144">
        <v>21</v>
      </c>
      <c r="D32" s="152"/>
      <c r="E32" s="107"/>
      <c r="F32" s="107"/>
      <c r="G32" s="154"/>
      <c r="H32" s="102"/>
      <c r="I32" s="244"/>
      <c r="J32" s="161"/>
      <c r="K32" s="22"/>
      <c r="L32" s="22"/>
      <c r="M32" s="23"/>
      <c r="N32" s="238"/>
    </row>
    <row r="33" spans="2:13" ht="12.75" customHeight="1" thickBot="1" x14ac:dyDescent="0.25">
      <c r="B33" s="149">
        <v>42</v>
      </c>
      <c r="C33" s="144">
        <v>24</v>
      </c>
      <c r="D33" s="152"/>
      <c r="E33" s="107"/>
      <c r="F33" s="107"/>
      <c r="G33" s="154"/>
      <c r="H33" s="1"/>
      <c r="I33" s="1"/>
      <c r="J33" s="436"/>
      <c r="K33" s="436"/>
      <c r="L33" s="436"/>
      <c r="M33" s="436"/>
    </row>
    <row r="34" spans="2:13" ht="12.75" thickBot="1" x14ac:dyDescent="0.25">
      <c r="B34" s="150">
        <v>43</v>
      </c>
      <c r="C34" s="144">
        <v>19</v>
      </c>
      <c r="D34" s="152"/>
      <c r="E34" s="107"/>
      <c r="F34" s="107"/>
      <c r="G34" s="154"/>
      <c r="H34" s="102"/>
      <c r="I34" s="437" t="s">
        <v>30</v>
      </c>
      <c r="J34" s="438"/>
      <c r="K34" s="438"/>
      <c r="L34" s="438"/>
      <c r="M34" s="439"/>
    </row>
    <row r="35" spans="2:13" ht="12.75" customHeight="1" x14ac:dyDescent="0.2">
      <c r="B35" s="149">
        <v>44</v>
      </c>
      <c r="C35" s="144">
        <v>30</v>
      </c>
      <c r="D35" s="152"/>
      <c r="E35" s="107"/>
      <c r="F35" s="107"/>
      <c r="G35" s="154"/>
      <c r="H35" s="1"/>
      <c r="I35" s="440" t="s">
        <v>31</v>
      </c>
      <c r="J35" s="442" t="s">
        <v>90</v>
      </c>
      <c r="K35" s="442" t="s">
        <v>13</v>
      </c>
      <c r="L35" s="442" t="s">
        <v>32</v>
      </c>
      <c r="M35" s="444" t="s">
        <v>91</v>
      </c>
    </row>
    <row r="36" spans="2:13" ht="12.75" customHeight="1" thickBot="1" x14ac:dyDescent="0.25">
      <c r="B36" s="150">
        <v>51</v>
      </c>
      <c r="C36" s="144">
        <v>10</v>
      </c>
      <c r="D36" s="139"/>
      <c r="E36" s="107"/>
      <c r="F36" s="107"/>
      <c r="G36" s="154"/>
      <c r="H36" s="1"/>
      <c r="I36" s="441"/>
      <c r="J36" s="443"/>
      <c r="K36" s="443"/>
      <c r="L36" s="443"/>
      <c r="M36" s="445"/>
    </row>
    <row r="37" spans="2:13" x14ac:dyDescent="0.2">
      <c r="B37" s="150">
        <v>53</v>
      </c>
      <c r="C37" s="144">
        <v>24</v>
      </c>
      <c r="D37" s="139"/>
      <c r="E37" s="107"/>
      <c r="F37" s="107"/>
      <c r="G37" s="154"/>
      <c r="H37" s="102"/>
      <c r="I37" s="446"/>
      <c r="J37" s="449"/>
      <c r="K37" s="449"/>
      <c r="L37" s="449"/>
      <c r="M37" s="449"/>
    </row>
    <row r="38" spans="2:13" x14ac:dyDescent="0.2">
      <c r="B38" s="149" t="s">
        <v>158</v>
      </c>
      <c r="C38" s="144">
        <v>10</v>
      </c>
      <c r="D38" s="152"/>
      <c r="E38" s="107"/>
      <c r="F38" s="107"/>
      <c r="G38" s="154"/>
      <c r="H38" s="102"/>
      <c r="I38" s="447"/>
      <c r="J38" s="450"/>
      <c r="K38" s="450"/>
      <c r="L38" s="450"/>
      <c r="M38" s="450"/>
    </row>
    <row r="39" spans="2:13" ht="13.5" customHeight="1" thickBot="1" x14ac:dyDescent="0.25">
      <c r="B39" s="149">
        <v>31</v>
      </c>
      <c r="C39" s="144">
        <v>24</v>
      </c>
      <c r="D39" s="152"/>
      <c r="E39" s="107"/>
      <c r="F39" s="107"/>
      <c r="G39" s="154"/>
      <c r="H39" s="102"/>
      <c r="I39" s="448"/>
      <c r="J39" s="451"/>
      <c r="K39" s="451"/>
      <c r="L39" s="451"/>
      <c r="M39" s="451"/>
    </row>
    <row r="40" spans="2:13" ht="13.5" customHeight="1" thickBot="1" x14ac:dyDescent="0.25">
      <c r="B40" s="149">
        <v>33</v>
      </c>
      <c r="C40" s="144">
        <v>23</v>
      </c>
      <c r="D40" s="152"/>
      <c r="E40" s="107"/>
      <c r="F40" s="107"/>
      <c r="G40" s="154"/>
      <c r="H40" s="102"/>
      <c r="J40" s="31"/>
      <c r="K40" s="435"/>
      <c r="L40" s="435"/>
      <c r="M40" s="104"/>
    </row>
    <row r="41" spans="2:13" ht="12.75" thickBot="1" x14ac:dyDescent="0.25">
      <c r="B41" s="149">
        <v>52</v>
      </c>
      <c r="C41" s="144">
        <v>24</v>
      </c>
      <c r="D41" s="152"/>
      <c r="E41" s="107"/>
      <c r="F41" s="107"/>
      <c r="G41" s="154"/>
      <c r="H41" s="102"/>
      <c r="I41" s="452" t="s">
        <v>34</v>
      </c>
      <c r="J41" s="453"/>
      <c r="K41" s="453"/>
      <c r="L41" s="453"/>
      <c r="M41" s="454"/>
    </row>
    <row r="42" spans="2:13" ht="12" customHeight="1" thickBot="1" x14ac:dyDescent="0.25">
      <c r="B42" s="151">
        <v>54</v>
      </c>
      <c r="C42" s="147">
        <v>24</v>
      </c>
      <c r="D42" s="172"/>
      <c r="E42" s="141"/>
      <c r="F42" s="141"/>
      <c r="G42" s="110"/>
      <c r="H42" s="102"/>
      <c r="I42" s="455" t="s">
        <v>31</v>
      </c>
      <c r="J42" s="456" t="s">
        <v>90</v>
      </c>
      <c r="K42" s="456" t="s">
        <v>13</v>
      </c>
      <c r="L42" s="456" t="s">
        <v>32</v>
      </c>
      <c r="M42" s="457" t="s">
        <v>91</v>
      </c>
    </row>
    <row r="43" spans="2:13" ht="12.95" customHeight="1" thickBot="1" x14ac:dyDescent="0.25">
      <c r="B43" s="137" t="s">
        <v>24</v>
      </c>
      <c r="C43" s="121"/>
      <c r="D43" s="121"/>
      <c r="E43" s="138"/>
      <c r="F43" s="121"/>
      <c r="G43" s="187"/>
      <c r="H43" s="102"/>
      <c r="I43" s="441"/>
      <c r="J43" s="443"/>
      <c r="K43" s="443"/>
      <c r="L43" s="443"/>
      <c r="M43" s="445"/>
    </row>
    <row r="44" spans="2:13" ht="17.100000000000001" customHeight="1" thickBot="1" x14ac:dyDescent="0.25">
      <c r="B44" s="28" t="s">
        <v>11</v>
      </c>
      <c r="C44" s="29">
        <f>SUM(C19:C42)</f>
        <v>458</v>
      </c>
      <c r="D44" s="30">
        <f>SUM(D19:D42)</f>
        <v>0</v>
      </c>
      <c r="E44" s="30">
        <f>SUM(E38:E43)</f>
        <v>0</v>
      </c>
      <c r="F44" s="30">
        <f>SUM(F38:F42)</f>
        <v>0</v>
      </c>
      <c r="G44" s="188">
        <f>SUM(G38:G42)</f>
        <v>0</v>
      </c>
      <c r="I44" s="465"/>
      <c r="J44" s="465"/>
      <c r="K44" s="465"/>
      <c r="L44" s="465"/>
      <c r="M44" s="465"/>
    </row>
    <row r="45" spans="2:13" ht="12.75" thickBot="1" x14ac:dyDescent="0.25">
      <c r="B45" s="463" t="s">
        <v>83</v>
      </c>
      <c r="C45" s="464"/>
      <c r="D45" s="94"/>
      <c r="E45" s="82"/>
      <c r="F45" s="102"/>
      <c r="G45" s="102"/>
      <c r="H45" s="102"/>
      <c r="I45" s="466"/>
      <c r="J45" s="466"/>
      <c r="K45" s="466"/>
      <c r="L45" s="466"/>
      <c r="M45" s="466"/>
    </row>
    <row r="46" spans="2:13" ht="12.75" thickBot="1" x14ac:dyDescent="0.25">
      <c r="B46" s="39"/>
      <c r="C46" s="39"/>
      <c r="D46" s="102"/>
      <c r="E46" s="102"/>
      <c r="F46" s="6"/>
      <c r="G46" s="102"/>
      <c r="H46" s="102"/>
      <c r="I46" s="467"/>
      <c r="J46" s="467"/>
      <c r="K46" s="467"/>
      <c r="L46" s="467"/>
      <c r="M46" s="467"/>
    </row>
    <row r="47" spans="2:13" ht="12.75" thickBot="1" x14ac:dyDescent="0.25">
      <c r="B47" s="9"/>
      <c r="C47" s="104"/>
      <c r="D47" s="104"/>
      <c r="E47" s="31"/>
      <c r="F47" s="31"/>
      <c r="G47" s="31"/>
    </row>
    <row r="48" spans="2:13" ht="12.75" thickBot="1" x14ac:dyDescent="0.25">
      <c r="B48" s="419" t="s">
        <v>102</v>
      </c>
      <c r="C48" s="420"/>
      <c r="D48" s="420"/>
      <c r="E48" s="420"/>
      <c r="F48" s="420"/>
      <c r="G48" s="421"/>
      <c r="I48" s="458" t="s">
        <v>23</v>
      </c>
      <c r="J48" s="459"/>
      <c r="K48" s="459"/>
      <c r="L48" s="459"/>
      <c r="M48" s="460"/>
    </row>
    <row r="49" spans="2:14" ht="24" customHeight="1" thickBot="1" x14ac:dyDescent="0.25">
      <c r="B49" s="127" t="s">
        <v>5</v>
      </c>
      <c r="C49" s="128" t="s">
        <v>22</v>
      </c>
      <c r="D49" s="129" t="s">
        <v>89</v>
      </c>
      <c r="E49" s="130" t="s">
        <v>85</v>
      </c>
      <c r="F49" s="128" t="s">
        <v>96</v>
      </c>
      <c r="G49" s="130" t="s">
        <v>86</v>
      </c>
      <c r="I49" s="99" t="s">
        <v>5</v>
      </c>
      <c r="J49" s="461" t="s">
        <v>7</v>
      </c>
      <c r="K49" s="461"/>
      <c r="L49" s="461" t="s">
        <v>71</v>
      </c>
      <c r="M49" s="462"/>
    </row>
    <row r="50" spans="2:14" ht="24" customHeight="1" x14ac:dyDescent="0.2">
      <c r="B50" s="181" t="s">
        <v>99</v>
      </c>
      <c r="C50" s="86">
        <v>9</v>
      </c>
      <c r="D50" s="115"/>
      <c r="E50" s="25"/>
      <c r="F50" s="106"/>
      <c r="G50" s="146"/>
      <c r="I50" s="174"/>
      <c r="J50" s="175"/>
      <c r="K50" s="175"/>
      <c r="L50" s="175"/>
      <c r="M50" s="176"/>
    </row>
    <row r="51" spans="2:14" ht="24" customHeight="1" x14ac:dyDescent="0.2">
      <c r="B51" s="182" t="s">
        <v>100</v>
      </c>
      <c r="C51" s="87">
        <v>4</v>
      </c>
      <c r="D51" s="115"/>
      <c r="E51" s="101"/>
      <c r="F51" s="107"/>
      <c r="G51" s="154"/>
      <c r="I51" s="174"/>
      <c r="J51" s="175"/>
      <c r="K51" s="175"/>
      <c r="L51" s="175"/>
      <c r="M51" s="176"/>
      <c r="N51" s="105" t="s">
        <v>3</v>
      </c>
    </row>
    <row r="52" spans="2:14" ht="24" customHeight="1" x14ac:dyDescent="0.2">
      <c r="B52" s="182" t="s">
        <v>25</v>
      </c>
      <c r="C52" s="87">
        <v>11</v>
      </c>
      <c r="D52" s="115"/>
      <c r="E52" s="26"/>
      <c r="F52" s="107"/>
      <c r="G52" s="154"/>
      <c r="I52" s="174"/>
      <c r="J52" s="175"/>
      <c r="K52" s="175"/>
      <c r="L52" s="175"/>
      <c r="M52" s="176"/>
    </row>
    <row r="53" spans="2:14" ht="24" customHeight="1" thickBot="1" x14ac:dyDescent="0.25">
      <c r="B53" s="183" t="s">
        <v>99</v>
      </c>
      <c r="C53" s="87">
        <v>10</v>
      </c>
      <c r="D53" s="115"/>
      <c r="E53" s="26"/>
      <c r="F53" s="107"/>
      <c r="G53" s="154"/>
      <c r="I53" s="177"/>
      <c r="J53" s="178"/>
      <c r="K53" s="178"/>
      <c r="L53" s="178"/>
      <c r="M53" s="179"/>
      <c r="N53" s="105" t="s">
        <v>3</v>
      </c>
    </row>
    <row r="54" spans="2:14" ht="24" customHeight="1" x14ac:dyDescent="0.2">
      <c r="B54" s="183" t="s">
        <v>116</v>
      </c>
      <c r="C54" s="87">
        <v>3</v>
      </c>
      <c r="D54" s="115"/>
      <c r="E54" s="26"/>
      <c r="F54" s="107"/>
      <c r="G54" s="154"/>
      <c r="I54" s="267"/>
      <c r="J54" s="267"/>
      <c r="K54" s="267"/>
      <c r="L54" s="267"/>
      <c r="M54" s="267"/>
    </row>
    <row r="55" spans="2:14" ht="24" customHeight="1" x14ac:dyDescent="0.2">
      <c r="B55" s="183" t="s">
        <v>100</v>
      </c>
      <c r="C55" s="87">
        <v>3</v>
      </c>
      <c r="D55" s="115"/>
      <c r="E55" s="26"/>
      <c r="F55" s="107"/>
      <c r="G55" s="154"/>
      <c r="I55"/>
      <c r="J55"/>
      <c r="K55"/>
      <c r="L55"/>
      <c r="M55"/>
    </row>
    <row r="56" spans="2:14" ht="24" customHeight="1" x14ac:dyDescent="0.2">
      <c r="B56" s="183" t="s">
        <v>25</v>
      </c>
      <c r="C56" s="87">
        <v>13</v>
      </c>
      <c r="D56" s="115"/>
      <c r="E56" s="26"/>
      <c r="F56" s="107"/>
      <c r="G56" s="154"/>
      <c r="I56"/>
      <c r="J56"/>
      <c r="K56"/>
      <c r="L56"/>
      <c r="M56"/>
    </row>
    <row r="57" spans="2:14" ht="24" customHeight="1" x14ac:dyDescent="0.2">
      <c r="B57" s="184" t="s">
        <v>101</v>
      </c>
      <c r="C57" s="87">
        <v>18</v>
      </c>
      <c r="D57" s="133"/>
      <c r="E57" s="40"/>
      <c r="F57" s="27"/>
      <c r="G57" s="189"/>
      <c r="I57"/>
      <c r="J57"/>
      <c r="K57"/>
      <c r="L57"/>
      <c r="M57"/>
    </row>
    <row r="58" spans="2:14" ht="24" customHeight="1" x14ac:dyDescent="0.2">
      <c r="B58" s="185" t="s">
        <v>101</v>
      </c>
      <c r="C58" s="88">
        <v>8</v>
      </c>
      <c r="D58" s="133"/>
      <c r="E58" s="40"/>
      <c r="F58" s="27"/>
      <c r="G58" s="189"/>
      <c r="H58" s="102"/>
      <c r="I58" s="97"/>
      <c r="J58" s="97"/>
      <c r="K58" s="97"/>
      <c r="L58" s="97"/>
      <c r="M58" s="97"/>
      <c r="N58" s="105" t="s">
        <v>3</v>
      </c>
    </row>
    <row r="59" spans="2:14" ht="24" customHeight="1" x14ac:dyDescent="0.2">
      <c r="B59" s="186" t="s">
        <v>26</v>
      </c>
      <c r="C59" s="88">
        <v>17</v>
      </c>
      <c r="D59" s="133"/>
      <c r="E59" s="40"/>
      <c r="F59" s="27"/>
      <c r="G59" s="189"/>
      <c r="I59" s="97"/>
      <c r="J59" s="97"/>
      <c r="K59" s="97"/>
      <c r="L59" s="97"/>
      <c r="M59" s="97"/>
    </row>
    <row r="60" spans="2:14" ht="15.75" customHeight="1" thickBot="1" x14ac:dyDescent="0.25">
      <c r="B60" s="185" t="s">
        <v>26</v>
      </c>
      <c r="C60" s="88">
        <v>3</v>
      </c>
      <c r="D60" s="133"/>
      <c r="E60" s="40"/>
      <c r="F60" s="27"/>
      <c r="G60" s="189"/>
      <c r="J60" s="105" t="s">
        <v>3</v>
      </c>
    </row>
    <row r="61" spans="2:14" ht="12.75" thickBot="1" x14ac:dyDescent="0.25">
      <c r="B61" s="28" t="s">
        <v>11</v>
      </c>
      <c r="C61" s="78"/>
      <c r="D61" s="30">
        <f>SUM(D39:D60)</f>
        <v>0</v>
      </c>
      <c r="E61" s="30">
        <f>SUM(E39:E60)</f>
        <v>0</v>
      </c>
      <c r="F61" s="79">
        <f>SUM(F39:F60)</f>
        <v>0</v>
      </c>
      <c r="G61" s="79">
        <f>SUM(G39:G60)</f>
        <v>0</v>
      </c>
    </row>
    <row r="65" spans="5:11" x14ac:dyDescent="0.2">
      <c r="E65" s="105" t="s">
        <v>3</v>
      </c>
    </row>
    <row r="66" spans="5:11" x14ac:dyDescent="0.2">
      <c r="K66" s="105" t="s">
        <v>3</v>
      </c>
    </row>
  </sheetData>
  <sheetProtection selectLockedCells="1"/>
  <mergeCells count="60">
    <mergeCell ref="N23:N25"/>
    <mergeCell ref="I48:M48"/>
    <mergeCell ref="J49:K49"/>
    <mergeCell ref="L49:M49"/>
    <mergeCell ref="B45:C45"/>
    <mergeCell ref="I44:I46"/>
    <mergeCell ref="J44:J46"/>
    <mergeCell ref="K44:K46"/>
    <mergeCell ref="L44:L46"/>
    <mergeCell ref="M44:M46"/>
    <mergeCell ref="B48:G48"/>
    <mergeCell ref="I41:M41"/>
    <mergeCell ref="I42:I43"/>
    <mergeCell ref="J42:J43"/>
    <mergeCell ref="K42:K43"/>
    <mergeCell ref="L42:L43"/>
    <mergeCell ref="M42:M43"/>
    <mergeCell ref="K40:L40"/>
    <mergeCell ref="J33:M33"/>
    <mergeCell ref="I34:M34"/>
    <mergeCell ref="I35:I36"/>
    <mergeCell ref="J35:J36"/>
    <mergeCell ref="K35:K36"/>
    <mergeCell ref="L35:L36"/>
    <mergeCell ref="M35:M36"/>
    <mergeCell ref="I37:I39"/>
    <mergeCell ref="J37:J39"/>
    <mergeCell ref="K37:K39"/>
    <mergeCell ref="L37:L39"/>
    <mergeCell ref="M37:M39"/>
    <mergeCell ref="I22:M22"/>
    <mergeCell ref="I23:I25"/>
    <mergeCell ref="J23:J25"/>
    <mergeCell ref="K23:K25"/>
    <mergeCell ref="L23:L25"/>
    <mergeCell ref="M23:M25"/>
    <mergeCell ref="I19:I21"/>
    <mergeCell ref="J19:J21"/>
    <mergeCell ref="K19:K21"/>
    <mergeCell ref="L19:L21"/>
    <mergeCell ref="M19:M21"/>
    <mergeCell ref="B12:D12"/>
    <mergeCell ref="H12:J12"/>
    <mergeCell ref="B13:D13"/>
    <mergeCell ref="H13:J13"/>
    <mergeCell ref="I17:M17"/>
    <mergeCell ref="B17:G17"/>
    <mergeCell ref="B14:D14"/>
    <mergeCell ref="B9:D9"/>
    <mergeCell ref="H9:J9"/>
    <mergeCell ref="B10:D10"/>
    <mergeCell ref="H10:J10"/>
    <mergeCell ref="B11:D11"/>
    <mergeCell ref="H11:J11"/>
    <mergeCell ref="B2:M2"/>
    <mergeCell ref="C4:D4"/>
    <mergeCell ref="B7:D7"/>
    <mergeCell ref="H7:J7"/>
    <mergeCell ref="B8:D8"/>
    <mergeCell ref="H8:J8"/>
  </mergeCells>
  <conditionalFormatting sqref="M37:M40">
    <cfRule type="cellIs" dxfId="2" priority="8" operator="greaterThanOrEqual">
      <formula>1</formula>
    </cfRule>
  </conditionalFormatting>
  <conditionalFormatting sqref="M19:M21">
    <cfRule type="cellIs" dxfId="1" priority="2" operator="greaterThan">
      <formula>0</formula>
    </cfRule>
  </conditionalFormatting>
  <conditionalFormatting sqref="L19:L21">
    <cfRule type="cellIs" dxfId="0" priority="1" operator="greaterThan">
      <formula>0</formula>
    </cfRule>
  </conditionalFormatting>
  <pageMargins left="0.74803149606299213" right="0.74803149606299213" top="0.98425196850393704" bottom="0.98425196850393704" header="0.51181102362204722" footer="0.51181102362204722"/>
  <pageSetup paperSize="9" scale="57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SAFETY HUDDLE</vt:lpstr>
      <vt:lpstr>Night Report </vt:lpstr>
      <vt:lpstr>0830</vt:lpstr>
      <vt:lpstr>1300</vt:lpstr>
      <vt:lpstr>Rag Status</vt:lpstr>
      <vt:lpstr>1700</vt:lpstr>
      <vt:lpstr>1900</vt:lpstr>
      <vt:lpstr>'0830'!Print_Area</vt:lpstr>
      <vt:lpstr>'1300'!Print_Area</vt:lpstr>
      <vt:lpstr>'1700'!Print_Area</vt:lpstr>
      <vt:lpstr>'1900'!Print_Area</vt:lpstr>
      <vt:lpstr>'Night Report '!Print_Area</vt:lpstr>
    </vt:vector>
  </TitlesOfParts>
  <Company>NHS FIFE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Paterson, Deborah</dc:creator>
  <cp:lastModifiedBy>Larry Li</cp:lastModifiedBy>
  <cp:lastPrinted>2019-01-16T10:09:59Z</cp:lastPrinted>
  <dcterms:created xsi:type="dcterms:W3CDTF">2012-12-07T14:30:54Z</dcterms:created>
  <dcterms:modified xsi:type="dcterms:W3CDTF">2020-05-01T12:31:40Z</dcterms:modified>
</cp:coreProperties>
</file>