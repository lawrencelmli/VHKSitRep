
<file path=[Content_Types].xml><?xml version="1.0" encoding="utf-8"?>
<Types xmlns="http://schemas.openxmlformats.org/package/2006/content-types"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data4.xml" ContentType="application/vnd.openxmlformats-officedocument.drawingml.diagramData+xml"/>
  <Override PartName="/xl/diagrams/colors6.xml" ContentType="application/vnd.openxmlformats-officedocument.drawingml.diagramColors+xml"/>
  <Override PartName="/xl/diagrams/drawing8.xml" ContentType="application/vnd.ms-office.drawingml.diagram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iagrams/data2.xml" ContentType="application/vnd.openxmlformats-officedocument.drawingml.diagramData+xml"/>
  <Override PartName="/xl/diagrams/colors4.xml" ContentType="application/vnd.openxmlformats-officedocument.drawingml.diagramColors+xml"/>
  <Override PartName="/xl/diagrams/drawing6.xml" ContentType="application/vnd.ms-office.drawingml.diagramDrawing+xml"/>
  <Override PartName="/xl/worksheets/sheet7.xml" ContentType="application/vnd.openxmlformats-officedocument.spreadsheetml.worksheet+xml"/>
  <Override PartName="/xl/diagrams/colors2.xml" ContentType="application/vnd.openxmlformats-officedocument.drawingml.diagramColors+xml"/>
  <Override PartName="/xl/diagrams/drawing4.xml" ContentType="application/vnd.ms-office.drawingml.diagramDrawing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iagrams/drawing2.xml" ContentType="application/vnd.ms-office.drawingml.diagram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1.xml" ContentType="application/vnd.openxmlformats-officedocument.drawingml.diagramStyle+xml"/>
  <Override PartName="/xl/worksheets/sheet3.xml" ContentType="application/vnd.openxmlformats-officedocument.spreadsheetml.worksheet+xml"/>
  <Override PartName="/xl/diagrams/colors11.xml" ContentType="application/vnd.openxmlformats-officedocument.drawingml.diagramColors+xml"/>
  <Override PartName="/xl/worksheets/sheet1.xml" ContentType="application/vnd.openxmlformats-officedocument.spreadsheetml.worksheet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sharedStrings.xml" ContentType="application/vnd.openxmlformats-officedocument.spreadsheetml.sharedStrings+xml"/>
  <Override PartName="/xl/diagrams/layout4.xml" ContentType="application/vnd.openxmlformats-officedocument.drawingml.diagramLayout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data8.xml" ContentType="application/vnd.openxmlformats-officedocument.drawingml.diagramData+xml"/>
  <Override PartName="/xl/diagrams/data9.xml" ContentType="application/vnd.openxmlformats-officedocument.drawingml.diagramData+xml"/>
  <Override PartName="/xl/diagrams/drawing10.xml" ContentType="application/vnd.ms-office.drawingml.diagramDrawing+xml"/>
  <Override PartName="/xl/diagrams/layout2.xml" ContentType="application/vnd.openxmlformats-officedocument.drawingml.diagramLayout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quickStyle4.xml" ContentType="application/vnd.openxmlformats-officedocument.drawingml.diagramStyle+xml"/>
  <Override PartName="/xl/diagrams/data6.xml" ContentType="application/vnd.openxmlformats-officedocument.drawingml.diagramData+xml"/>
  <Override PartName="/xl/diagrams/data7.xml" ContentType="application/vnd.openxmlformats-officedocument.drawingml.diagramData+xml"/>
  <Override PartName="/xl/diagrams/colors8.xml" ContentType="application/vnd.openxmlformats-officedocument.drawingml.diagramColors+xml"/>
  <Override PartName="/xl/diagrams/colors9.xml" ContentType="application/vnd.openxmlformats-officedocument.drawingml.diagramColor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diagrams/quickStyle2.xml" ContentType="application/vnd.openxmlformats-officedocument.drawingml.diagramStyle+xml"/>
  <Override PartName="/xl/diagrams/data5.xml" ContentType="application/vnd.openxmlformats-officedocument.drawingml.diagramData+xml"/>
  <Override PartName="/xl/diagrams/colors7.xml" ContentType="application/vnd.openxmlformats-officedocument.drawingml.diagramColors+xml"/>
  <Override PartName="/xl/diagrams/drawing9.xml" ContentType="application/vnd.ms-office.drawingml.diagramDrawing+xml"/>
  <Override PartName="/xl/diagrams/data3.xml" ContentType="application/vnd.openxmlformats-officedocument.drawingml.diagramData+xml"/>
  <Override PartName="/xl/diagrams/colors3.xml" ContentType="application/vnd.openxmlformats-officedocument.drawingml.diagramColors+xml"/>
  <Override PartName="/xl/diagrams/colors5.xml" ContentType="application/vnd.openxmlformats-officedocument.drawingml.diagramColors+xml"/>
  <Override PartName="/xl/diagrams/drawing7.xml" ContentType="application/vnd.ms-office.drawingml.diagram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diagrams/data1.xml" ContentType="application/vnd.openxmlformats-officedocument.drawingml.diagramData+xml"/>
  <Override PartName="/xl/diagrams/colors1.xml" ContentType="application/vnd.openxmlformats-officedocument.drawingml.diagramColors+xml"/>
  <Override PartName="/xl/diagrams/drawing5.xml" ContentType="application/vnd.ms-office.drawingml.diagramDrawing+xml"/>
  <Override PartName="/xl/drawings/drawing5.xml" ContentType="application/vnd.openxmlformats-officedocument.drawing+xml"/>
  <Override PartName="/xl/diagrams/data11.xml" ContentType="application/vnd.openxmlformats-officedocument.drawingml.diagramData+xml"/>
  <Override PartName="/xl/diagrams/layout11.xml" ContentType="application/vnd.openxmlformats-officedocument.drawingml.diagramLayou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iagrams/drawing1.xml" ContentType="application/vnd.ms-office.drawingml.diagramDrawing+xml"/>
  <Override PartName="/xl/diagrams/drawing3.xml" ContentType="application/vnd.ms-office.drawingml.diagramDrawing+xml"/>
  <Override PartName="/xl/drawings/drawing3.xml" ContentType="application/vnd.openxmlformats-officedocument.drawing+xml"/>
  <Override PartName="/xl/diagrams/quickStyle10.xml" ContentType="application/vnd.openxmlformats-officedocument.drawingml.diagram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10.xml" ContentType="application/vnd.openxmlformats-officedocument.drawingml.diagramColors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drawing11.xml" ContentType="application/vnd.ms-office.drawingml.diagram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480" yWindow="45" windowWidth="11340" windowHeight="7455" activeTab="7"/>
  </bookViews>
  <sheets>
    <sheet name="SAFETY HUDDLE" sheetId="27" r:id="rId1"/>
    <sheet name="Night Report " sheetId="23" r:id="rId2"/>
    <sheet name="Rag Status" sheetId="13" state="hidden" r:id="rId3"/>
    <sheet name="SG Report 10am" sheetId="43" r:id="rId4"/>
    <sheet name="0830" sheetId="39" r:id="rId5"/>
    <sheet name="1300" sheetId="41" r:id="rId6"/>
    <sheet name="1700" sheetId="42" r:id="rId7"/>
    <sheet name="1900" sheetId="40" r:id="rId8"/>
    <sheet name="sheet1" sheetId="28" state="hidden" r:id="rId9"/>
  </sheets>
  <definedNames>
    <definedName name="_xlnm.Print_Area" localSheetId="4">'0830'!$B$1:$R$55</definedName>
    <definedName name="_xlnm.Print_Area" localSheetId="5">'1300'!$B$1:$R$55</definedName>
    <definedName name="_xlnm.Print_Area" localSheetId="6">'1700'!$B$1:$R$56</definedName>
    <definedName name="_xlnm.Print_Area" localSheetId="7">'1900'!$B$1:$R$55</definedName>
    <definedName name="_xlnm.Print_Area" localSheetId="1">'Night Report '!$B$1:$R$57</definedName>
  </definedNames>
  <calcPr calcId="125725"/>
</workbook>
</file>

<file path=xl/calcChain.xml><?xml version="1.0" encoding="utf-8"?>
<calcChain xmlns="http://schemas.openxmlformats.org/spreadsheetml/2006/main">
  <c r="N43" i="40"/>
  <c r="F43"/>
  <c r="N43" i="42"/>
  <c r="F43"/>
  <c r="F35" i="40"/>
  <c r="F34"/>
  <c r="F33"/>
  <c r="F32"/>
  <c r="F31"/>
  <c r="F30"/>
  <c r="F29"/>
  <c r="F34" i="42"/>
  <c r="F33"/>
  <c r="F32"/>
  <c r="F31"/>
  <c r="F30"/>
  <c r="F29"/>
  <c r="F34" i="41"/>
  <c r="F33"/>
  <c r="F32"/>
  <c r="F31"/>
  <c r="F30"/>
  <c r="F29"/>
  <c r="F34" i="39"/>
  <c r="F33"/>
  <c r="F32"/>
  <c r="F31"/>
  <c r="F30"/>
  <c r="F29"/>
  <c r="N55" i="42"/>
  <c r="F55"/>
  <c r="N54" i="41"/>
  <c r="F54"/>
  <c r="N54" i="39"/>
  <c r="F54"/>
  <c r="N51" i="23"/>
  <c r="F51"/>
  <c r="D24" i="43"/>
  <c r="D23"/>
  <c r="D21"/>
  <c r="D20"/>
  <c r="D18"/>
  <c r="D17"/>
  <c r="D15"/>
  <c r="D14"/>
  <c r="D8"/>
  <c r="M57" i="40"/>
  <c r="N57" s="1"/>
  <c r="I57"/>
  <c r="H57"/>
  <c r="G57"/>
  <c r="F57"/>
  <c r="E57"/>
  <c r="D57"/>
  <c r="N56"/>
  <c r="F56"/>
  <c r="N55"/>
  <c r="F55"/>
  <c r="N54"/>
  <c r="F54"/>
  <c r="N53"/>
  <c r="F53"/>
  <c r="N52"/>
  <c r="F52"/>
  <c r="N51"/>
  <c r="F51"/>
  <c r="Q48"/>
  <c r="P48"/>
  <c r="O48"/>
  <c r="M48"/>
  <c r="N48" s="1"/>
  <c r="L48"/>
  <c r="I48"/>
  <c r="H48"/>
  <c r="G48"/>
  <c r="E48"/>
  <c r="F48" s="1"/>
  <c r="D48"/>
  <c r="N47"/>
  <c r="F47"/>
  <c r="N46"/>
  <c r="F46"/>
  <c r="N45"/>
  <c r="F45"/>
  <c r="N44"/>
  <c r="F44"/>
  <c r="N42"/>
  <c r="F42"/>
  <c r="N41"/>
  <c r="F41"/>
  <c r="N40"/>
  <c r="F40"/>
  <c r="N39"/>
  <c r="F39"/>
  <c r="N38"/>
  <c r="F38"/>
  <c r="N37"/>
  <c r="F37"/>
  <c r="N36"/>
  <c r="F36"/>
  <c r="N35"/>
  <c r="N34"/>
  <c r="N33"/>
  <c r="N32"/>
  <c r="N31"/>
  <c r="N30"/>
  <c r="N29"/>
  <c r="Q26"/>
  <c r="P26"/>
  <c r="O26"/>
  <c r="M26"/>
  <c r="N26" s="1"/>
  <c r="L26"/>
  <c r="I26"/>
  <c r="H26"/>
  <c r="G26"/>
  <c r="E26"/>
  <c r="F26" s="1"/>
  <c r="D26"/>
  <c r="N25"/>
  <c r="F25"/>
  <c r="N24"/>
  <c r="F24"/>
  <c r="N23"/>
  <c r="F23"/>
  <c r="N22"/>
  <c r="F22"/>
  <c r="N21"/>
  <c r="F21"/>
  <c r="M58" i="42"/>
  <c r="N58" s="1"/>
  <c r="L58"/>
  <c r="I58"/>
  <c r="H58"/>
  <c r="G58"/>
  <c r="E58"/>
  <c r="F58" s="1"/>
  <c r="D58"/>
  <c r="N57"/>
  <c r="F57"/>
  <c r="N56"/>
  <c r="F56"/>
  <c r="N54"/>
  <c r="F54"/>
  <c r="N53"/>
  <c r="F53"/>
  <c r="N52"/>
  <c r="F52"/>
  <c r="N51"/>
  <c r="F51"/>
  <c r="Q48"/>
  <c r="P48"/>
  <c r="O48"/>
  <c r="M48"/>
  <c r="N48" s="1"/>
  <c r="L48"/>
  <c r="I48"/>
  <c r="H48"/>
  <c r="G48"/>
  <c r="F48"/>
  <c r="E48"/>
  <c r="D48"/>
  <c r="N47"/>
  <c r="F47"/>
  <c r="N46"/>
  <c r="F46"/>
  <c r="N45"/>
  <c r="F45"/>
  <c r="N44"/>
  <c r="F44"/>
  <c r="N42"/>
  <c r="F42"/>
  <c r="N41"/>
  <c r="F41"/>
  <c r="N40"/>
  <c r="F40"/>
  <c r="N39"/>
  <c r="F39"/>
  <c r="N38"/>
  <c r="F38"/>
  <c r="N37"/>
  <c r="F37"/>
  <c r="N36"/>
  <c r="F36"/>
  <c r="N35"/>
  <c r="F35"/>
  <c r="N34"/>
  <c r="N33"/>
  <c r="N32"/>
  <c r="N31"/>
  <c r="N30"/>
  <c r="N29"/>
  <c r="Q26"/>
  <c r="P26"/>
  <c r="O26"/>
  <c r="M26"/>
  <c r="N26" s="1"/>
  <c r="L26"/>
  <c r="I26"/>
  <c r="H26"/>
  <c r="G26"/>
  <c r="E26"/>
  <c r="F26" s="1"/>
  <c r="D26"/>
  <c r="N25"/>
  <c r="F25"/>
  <c r="N24"/>
  <c r="F24"/>
  <c r="N23"/>
  <c r="F23"/>
  <c r="N22"/>
  <c r="F22"/>
  <c r="N21"/>
  <c r="F21"/>
  <c r="M57" i="41"/>
  <c r="N57" s="1"/>
  <c r="L57"/>
  <c r="I57"/>
  <c r="H57"/>
  <c r="G57"/>
  <c r="E57"/>
  <c r="F57" s="1"/>
  <c r="D57"/>
  <c r="N56"/>
  <c r="F56"/>
  <c r="N55"/>
  <c r="F55"/>
  <c r="N53"/>
  <c r="F53"/>
  <c r="N52"/>
  <c r="F52"/>
  <c r="N51"/>
  <c r="F51"/>
  <c r="N50"/>
  <c r="F50"/>
  <c r="Q47"/>
  <c r="P47"/>
  <c r="O47"/>
  <c r="M47"/>
  <c r="N47" s="1"/>
  <c r="L47"/>
  <c r="I47"/>
  <c r="H47"/>
  <c r="G47"/>
  <c r="E47"/>
  <c r="F47" s="1"/>
  <c r="D47"/>
  <c r="N46"/>
  <c r="F46"/>
  <c r="N45"/>
  <c r="F45"/>
  <c r="N44"/>
  <c r="F44"/>
  <c r="N43"/>
  <c r="F43"/>
  <c r="N42"/>
  <c r="F42"/>
  <c r="N41"/>
  <c r="F41"/>
  <c r="N40"/>
  <c r="F40"/>
  <c r="N39"/>
  <c r="F39"/>
  <c r="N38"/>
  <c r="F38"/>
  <c r="N37"/>
  <c r="F37"/>
  <c r="N36"/>
  <c r="F36"/>
  <c r="N35"/>
  <c r="F35"/>
  <c r="N34"/>
  <c r="N33"/>
  <c r="N32"/>
  <c r="N31"/>
  <c r="N30"/>
  <c r="N29"/>
  <c r="Q26"/>
  <c r="P26"/>
  <c r="O26"/>
  <c r="M26"/>
  <c r="N26" s="1"/>
  <c r="L26"/>
  <c r="I26"/>
  <c r="H26"/>
  <c r="G26"/>
  <c r="E26"/>
  <c r="F26" s="1"/>
  <c r="D26"/>
  <c r="N25"/>
  <c r="F25"/>
  <c r="N24"/>
  <c r="F24"/>
  <c r="N23"/>
  <c r="F23"/>
  <c r="N22"/>
  <c r="F22"/>
  <c r="N21"/>
  <c r="F21"/>
  <c r="M57" i="39"/>
  <c r="N57" s="1"/>
  <c r="L57"/>
  <c r="I57"/>
  <c r="H57"/>
  <c r="G57"/>
  <c r="E57"/>
  <c r="F57" s="1"/>
  <c r="D57"/>
  <c r="N56"/>
  <c r="F56"/>
  <c r="N55"/>
  <c r="F55"/>
  <c r="N53"/>
  <c r="F53"/>
  <c r="N52"/>
  <c r="F52"/>
  <c r="N51"/>
  <c r="F51"/>
  <c r="N50"/>
  <c r="F50"/>
  <c r="Q47"/>
  <c r="P47"/>
  <c r="O47"/>
  <c r="M47"/>
  <c r="N47" s="1"/>
  <c r="L47"/>
  <c r="I47"/>
  <c r="H47"/>
  <c r="G47"/>
  <c r="E47"/>
  <c r="F47" s="1"/>
  <c r="D47"/>
  <c r="N46"/>
  <c r="F46"/>
  <c r="N45"/>
  <c r="F45"/>
  <c r="N44"/>
  <c r="F44"/>
  <c r="N43"/>
  <c r="F43"/>
  <c r="N42"/>
  <c r="F42"/>
  <c r="N41"/>
  <c r="F41"/>
  <c r="N40"/>
  <c r="F40"/>
  <c r="N39"/>
  <c r="F39"/>
  <c r="N38"/>
  <c r="F38"/>
  <c r="N37"/>
  <c r="F37"/>
  <c r="N36"/>
  <c r="F36"/>
  <c r="N35"/>
  <c r="F35"/>
  <c r="N34"/>
  <c r="N33"/>
  <c r="N32"/>
  <c r="N31"/>
  <c r="N30"/>
  <c r="N29"/>
  <c r="Q26"/>
  <c r="P26"/>
  <c r="O26"/>
  <c r="M26"/>
  <c r="N26" s="1"/>
  <c r="L26"/>
  <c r="I26"/>
  <c r="H26"/>
  <c r="G26"/>
  <c r="E26"/>
  <c r="F26" s="1"/>
  <c r="D26"/>
  <c r="N25"/>
  <c r="F25"/>
  <c r="N24"/>
  <c r="F24"/>
  <c r="N23"/>
  <c r="F23"/>
  <c r="N22"/>
  <c r="F22"/>
  <c r="N21"/>
  <c r="F21"/>
  <c r="Q26" i="23"/>
  <c r="P26"/>
  <c r="O26"/>
  <c r="M26"/>
  <c r="N26" s="1"/>
  <c r="L26"/>
  <c r="I47"/>
  <c r="H47"/>
  <c r="G47"/>
  <c r="E47"/>
  <c r="F47" s="1"/>
  <c r="D47"/>
  <c r="Q47"/>
  <c r="P47"/>
  <c r="O47"/>
  <c r="M47"/>
  <c r="D7" i="43" s="1"/>
  <c r="L47" i="23"/>
  <c r="F40"/>
  <c r="N23"/>
  <c r="F23"/>
  <c r="F31"/>
  <c r="N40"/>
  <c r="N47" l="1"/>
  <c r="D11" i="43"/>
  <c r="D19"/>
  <c r="D16"/>
  <c r="D25"/>
  <c r="D22"/>
  <c r="N25" i="23"/>
  <c r="N24"/>
  <c r="N22"/>
  <c r="N21"/>
  <c r="N46"/>
  <c r="N45"/>
  <c r="N44"/>
  <c r="N43"/>
  <c r="N42"/>
  <c r="N41"/>
  <c r="N39"/>
  <c r="N38"/>
  <c r="N37"/>
  <c r="N36"/>
  <c r="N35"/>
  <c r="N34"/>
  <c r="N33"/>
  <c r="N32"/>
  <c r="N31"/>
  <c r="N30"/>
  <c r="N29"/>
  <c r="N56"/>
  <c r="N55"/>
  <c r="N54"/>
  <c r="N53"/>
  <c r="N52"/>
  <c r="N50"/>
  <c r="F56"/>
  <c r="F55"/>
  <c r="F54"/>
  <c r="F53"/>
  <c r="F52"/>
  <c r="F50"/>
  <c r="F25"/>
  <c r="F24"/>
  <c r="F22"/>
  <c r="F21"/>
  <c r="F30"/>
  <c r="F32"/>
  <c r="F33"/>
  <c r="F34"/>
  <c r="F35"/>
  <c r="F36"/>
  <c r="F37"/>
  <c r="F38"/>
  <c r="F39"/>
  <c r="F41"/>
  <c r="F42"/>
  <c r="F43"/>
  <c r="F44"/>
  <c r="F45"/>
  <c r="F46"/>
  <c r="F29"/>
  <c r="H57"/>
  <c r="I57"/>
  <c r="G57"/>
  <c r="I26"/>
  <c r="H26"/>
  <c r="G26"/>
  <c r="M57"/>
  <c r="D9" i="43" s="1"/>
  <c r="D10" s="1"/>
  <c r="L57" i="23"/>
  <c r="E57"/>
  <c r="D12" i="43" s="1"/>
  <c r="E26" i="23"/>
  <c r="F26" s="1"/>
  <c r="D26"/>
  <c r="D57"/>
  <c r="D13" i="43" l="1"/>
  <c r="F57" i="23"/>
  <c r="N57"/>
  <c r="C10" i="27"/>
  <c r="C17"/>
  <c r="G19"/>
  <c r="G17"/>
  <c r="E19"/>
  <c r="C19"/>
  <c r="E17"/>
  <c r="D15"/>
  <c r="G5"/>
  <c r="G4"/>
  <c r="E5"/>
  <c r="E4"/>
  <c r="C5"/>
  <c r="C4"/>
  <c r="E2"/>
  <c r="C2"/>
  <c r="C9"/>
  <c r="E9" l="1"/>
  <c r="G9" l="1"/>
  <c r="G10" l="1"/>
  <c r="E10"/>
  <c r="F16" i="13" l="1"/>
  <c r="D21"/>
  <c r="D26"/>
  <c r="E1"/>
  <c r="C1"/>
  <c r="E16"/>
  <c r="D15"/>
  <c r="F10"/>
  <c r="F9"/>
  <c r="F8"/>
  <c r="F7"/>
  <c r="C14" l="1"/>
  <c r="F6" l="1"/>
  <c r="E20" l="1"/>
  <c r="E14" l="1"/>
  <c r="D16"/>
  <c r="D14" l="1"/>
  <c r="F14"/>
  <c r="F20"/>
  <c r="F21" s="1"/>
</calcChain>
</file>

<file path=xl/sharedStrings.xml><?xml version="1.0" encoding="utf-8"?>
<sst xmlns="http://schemas.openxmlformats.org/spreadsheetml/2006/main" count="709" uniqueCount="192">
  <si>
    <t>Time:</t>
  </si>
  <si>
    <t xml:space="preserve"> </t>
  </si>
  <si>
    <t>Ward</t>
  </si>
  <si>
    <t>AU1</t>
  </si>
  <si>
    <t>Electives:</t>
  </si>
  <si>
    <t>Predicted Emergency Admissions:</t>
  </si>
  <si>
    <t>Total:</t>
  </si>
  <si>
    <t>Discharges</t>
  </si>
  <si>
    <t>Critical Care</t>
  </si>
  <si>
    <t>Longest Wait</t>
  </si>
  <si>
    <t>Number of patients with DTA</t>
  </si>
  <si>
    <t>A&amp;E</t>
  </si>
  <si>
    <t>Date:</t>
  </si>
  <si>
    <t>Bed Compliment</t>
  </si>
  <si>
    <t>MATERNITY WARD</t>
  </si>
  <si>
    <t>NEONATAL UNIT</t>
  </si>
  <si>
    <t>Occupancy</t>
  </si>
  <si>
    <t>Patients Now</t>
  </si>
  <si>
    <t>Ongoing Assessment</t>
  </si>
  <si>
    <t>Yes</t>
  </si>
  <si>
    <t>Emergency Care</t>
  </si>
  <si>
    <t>Planned Care</t>
  </si>
  <si>
    <t>Rag Status</t>
  </si>
  <si>
    <t>Green</t>
  </si>
  <si>
    <t>EDD</t>
  </si>
  <si>
    <t>Number of patients in ED and AU1au awaiting a bed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</si>
  <si>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</si>
  <si>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</si>
  <si>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</si>
  <si>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</si>
  <si>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</si>
  <si>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</si>
  <si>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</si>
  <si>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</si>
  <si>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</si>
  <si>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</si>
  <si>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</si>
  <si>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</si>
  <si>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</si>
  <si>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</si>
  <si>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</si>
  <si>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</si>
  <si>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</si>
  <si>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</si>
  <si>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</si>
  <si>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</si>
  <si>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</si>
  <si>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</si>
  <si>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</si>
  <si>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</si>
  <si>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</si>
  <si>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</si>
  <si>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</si>
  <si>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</si>
  <si>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</si>
  <si>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</si>
  <si>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</si>
  <si>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</si>
  <si>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</si>
  <si>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</si>
  <si>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</si>
  <si>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</si>
  <si>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</si>
  <si>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</si>
  <si>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</si>
  <si>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</si>
  <si>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</si>
  <si>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</si>
  <si>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>SSSU</t>
  </si>
  <si>
    <t>Electives</t>
  </si>
  <si>
    <t>Discharges before 1pm</t>
  </si>
  <si>
    <t>Admissions Today</t>
  </si>
  <si>
    <t>Number of Ward fit patients</t>
  </si>
  <si>
    <t>Empty Beds</t>
  </si>
  <si>
    <t xml:space="preserve">GP's To Come In </t>
  </si>
  <si>
    <t>Victoria Hospital Capacity Report</t>
  </si>
  <si>
    <t>Empty beds</t>
  </si>
  <si>
    <t>Expected Discharges</t>
  </si>
  <si>
    <t>Discharges Achieved</t>
  </si>
  <si>
    <t>OBSERVATION UNIT</t>
  </si>
  <si>
    <t>CHILDREN'S WARD</t>
  </si>
  <si>
    <t>WOMEN &amp; CHILDREN</t>
  </si>
  <si>
    <t>Predicted Balance:</t>
  </si>
  <si>
    <t>AU1 &amp; AU2 Green Zone Occupancy</t>
  </si>
  <si>
    <t>AU1 Red Zone Occupancy</t>
  </si>
  <si>
    <t>Total Red Zone Patients</t>
  </si>
  <si>
    <t>IOL</t>
  </si>
  <si>
    <t xml:space="preserve">Total in Dept </t>
  </si>
  <si>
    <t>CRITICAL CARE BED AVAILABILITY</t>
  </si>
  <si>
    <t>EMERGENCY DEPARTMENT</t>
  </si>
  <si>
    <t>ITU RED</t>
  </si>
  <si>
    <t>MHDU RED</t>
  </si>
  <si>
    <t>ITU GREEN</t>
  </si>
  <si>
    <t>MHDU / CCU GREEN</t>
  </si>
  <si>
    <t>RENAL HDU GREEN</t>
  </si>
  <si>
    <t>SHDU GREEN</t>
  </si>
  <si>
    <t>INPATIENT CAPACITY RED ZONE</t>
  </si>
  <si>
    <t>RED INPATIENT WARDS</t>
  </si>
  <si>
    <t>WARDS WITH RED ZONES</t>
  </si>
  <si>
    <t>ITU, MHDU, AU1, Wards 22 &amp; 34</t>
  </si>
  <si>
    <t>Total Red Zone Available Beds</t>
  </si>
  <si>
    <t>Total Red Zone Occupancy</t>
  </si>
  <si>
    <t>Total Green Zone Occupancy</t>
  </si>
  <si>
    <t>URGENT SURGICAL ADMISSIONS</t>
  </si>
  <si>
    <t>MATERNITY</t>
  </si>
  <si>
    <t>PLANNED CARE</t>
  </si>
  <si>
    <t>TOTAL MATERNITY EMPTY BEDS</t>
  </si>
  <si>
    <t>PAEDIATRICS</t>
  </si>
  <si>
    <t>NEONATES</t>
  </si>
  <si>
    <t>Red Zone Inpatients</t>
  </si>
  <si>
    <t>Red Zone Available Beds</t>
  </si>
  <si>
    <t>Total Green Zone Available Beds</t>
  </si>
  <si>
    <t>Any other Safety Concerns/ Key messages?</t>
  </si>
  <si>
    <t>CARE &amp; TREATMENT CONCERNS</t>
  </si>
  <si>
    <t xml:space="preserve">PATIENTRAK DASHBOARD                                   Any patients at risk of deterioration?                                                Issues with patients with FEWS of  &gt;4 (or 3 for more than one hour)
Any early clinical support required?                                  
</t>
  </si>
  <si>
    <t>STAFFING ISSUES - ALL GROUPS (ISSUES BY EXCEPTION)</t>
  </si>
  <si>
    <t>RADIOLOGY (EXT 28325)</t>
  </si>
  <si>
    <t>LABORATORIES ( EXT 28102)</t>
  </si>
  <si>
    <t xml:space="preserve">SUPPORT SERVICES (Phone Level 11 between 0815 and 0845 (28305)
Situation report and key issues by exception)
</t>
  </si>
  <si>
    <t>INFECTION PREVENTION &amp; CONTROL        (EXT 28102)</t>
  </si>
  <si>
    <t>PHARMACY (EXT 21052)</t>
  </si>
  <si>
    <t>ESTATES, PORTERING &amp; FACILITIES</t>
  </si>
  <si>
    <t>DISCHARGE HUB (EXT 23990)</t>
  </si>
  <si>
    <t>PROCUREMENT (EXT 21346)</t>
  </si>
  <si>
    <t>OTHER CLINICAL CONCERNS</t>
  </si>
  <si>
    <t>URGENT COVID-19 UPDATES</t>
  </si>
  <si>
    <t>PPE UPDATE (Procurement)</t>
  </si>
  <si>
    <t>Wards 41, 43, 51 &amp; 53</t>
  </si>
  <si>
    <t>MHDU (WD 43)</t>
  </si>
  <si>
    <t xml:space="preserve"> ITU </t>
  </si>
  <si>
    <t>ITU (Rec 2)</t>
  </si>
  <si>
    <t>SHDU (Rec 2)</t>
  </si>
  <si>
    <t xml:space="preserve"> RHDU</t>
  </si>
  <si>
    <t>Capacity and Flow</t>
  </si>
  <si>
    <t>Adult capacity</t>
  </si>
  <si>
    <t>Total</t>
  </si>
  <si>
    <t>Unit</t>
  </si>
  <si>
    <t xml:space="preserve">Occupancy </t>
  </si>
  <si>
    <t>Capacity overview</t>
  </si>
  <si>
    <t>Theatres</t>
  </si>
  <si>
    <t>Remaining today:</t>
  </si>
  <si>
    <t>Admissions so far:</t>
  </si>
  <si>
    <t>Definite &amp; Expected discharges:</t>
  </si>
  <si>
    <t>Patients breached since midnight</t>
  </si>
  <si>
    <t>Acute Admissions Assessment</t>
  </si>
  <si>
    <t>Women &amp; Children</t>
  </si>
  <si>
    <t>AU2 MED /SURG</t>
  </si>
  <si>
    <t>CLOSED</t>
  </si>
  <si>
    <t>Bed Required</t>
  </si>
  <si>
    <t>Total Number in Department</t>
  </si>
  <si>
    <t>Time to 1st Assessment</t>
  </si>
  <si>
    <t>Attendance since midnight</t>
  </si>
  <si>
    <t>Prepared By:</t>
  </si>
  <si>
    <t>RED ZONES</t>
  </si>
  <si>
    <t>GREEN ZONES</t>
  </si>
  <si>
    <t>Scottish Government Reporting @ 10am - FOR CONTROL ROOM USE</t>
  </si>
  <si>
    <t>**This will need to be updated and checked every time there is a ward move</t>
  </si>
  <si>
    <t>Number of acute beds available (unoccupied substantive staffed beds, excluding critical care, including wards currently closed as capacity not required)</t>
  </si>
  <si>
    <t>Green Adult Acute</t>
  </si>
  <si>
    <t>Green Closed Wards</t>
  </si>
  <si>
    <t>Green Womens and Childrens</t>
  </si>
  <si>
    <t>Number of COVID-19 designated beds available (unoccupied staffed beds)</t>
  </si>
  <si>
    <t>Red Adult Acute</t>
  </si>
  <si>
    <t>Red Womens and Childrens</t>
  </si>
  <si>
    <t xml:space="preserve">Number of Critical Care Beds (Level 2 – CCU/MHDU/SHDU/RHDU)  occupied     </t>
  </si>
  <si>
    <t>Red Critical Care</t>
  </si>
  <si>
    <t>Green Critical Care</t>
  </si>
  <si>
    <t xml:space="preserve">Number of Critical Care Beds (Level 2 – CCU/MHDU/SHDU/RHDU)  available          </t>
  </si>
  <si>
    <t>Number of ITU (Level 3 ventilated beds) occupied</t>
  </si>
  <si>
    <t>Red ITU</t>
  </si>
  <si>
    <t>Green ITU</t>
  </si>
  <si>
    <t>Number of ITU (Level 3 ventilated beds) available</t>
  </si>
  <si>
    <t>CCU</t>
  </si>
  <si>
    <t>MHDU</t>
  </si>
  <si>
    <t>This information is populated from the 'Night Report' tab within the sitrep</t>
  </si>
  <si>
    <t>CLU</t>
  </si>
  <si>
    <t>MLU</t>
  </si>
  <si>
    <t>26.05.2020</t>
  </si>
  <si>
    <t xml:space="preserve">L.TREWAVAS </t>
  </si>
  <si>
    <t>No issues</t>
  </si>
  <si>
    <t>Care Home Query Covid -19 and closure list attached seperately. No wards closed in NHS Fife</t>
  </si>
  <si>
    <t>No Issues</t>
  </si>
  <si>
    <t>Kerry Thomson</t>
  </si>
  <si>
    <t>1 social care discharge, 6 for general rehab VHK, 3 for other hospitals. 57 community beds, (6 red &amp; 51 green) 4 pre-booked beds for VHK and one for elsewhere.</t>
  </si>
  <si>
    <t>No issuers</t>
  </si>
  <si>
    <t>Awareness in particular for front door areas of Care Homeswith Covid / query Covid etc</t>
  </si>
  <si>
    <t>LMcIvor</t>
  </si>
  <si>
    <t>3hr06</t>
  </si>
  <si>
    <t>1hr12</t>
  </si>
  <si>
    <t>RHDU</t>
  </si>
  <si>
    <t>3hr17</t>
  </si>
  <si>
    <t>1hr27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</si>
</sst>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[$-809]dd\ mmmm\ yyyy;@"/>
  </numFmts>
  <fonts count="27">
    <font>
      <sz val="10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theme="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hadow/>
      <sz val="14"/>
      <name val="Arial"/>
      <family val="2"/>
    </font>
    <font>
      <b/>
      <sz val="9"/>
      <color theme="1"/>
      <name val="Arial"/>
      <family val="2"/>
    </font>
    <font>
      <b/>
      <sz val="8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4"/>
      <color rgb="FFFF000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D9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2" fillId="11" borderId="44" applyNumberFormat="0" applyAlignment="0" applyProtection="0"/>
    <xf numFmtId="0" fontId="1" fillId="0" borderId="0"/>
  </cellStyleXfs>
  <cellXfs count="434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0" fontId="9" fillId="0" borderId="11" xfId="0" applyFont="1" applyBorder="1" applyAlignment="1">
      <alignment horizontal="center" vertical="center" wrapText="1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3" fillId="0" borderId="37" xfId="0" applyFont="1" applyBorder="1" applyAlignment="1" applyProtection="1">
      <alignment horizontal="center" vertical="center"/>
      <protection locked="0"/>
    </xf>
    <xf numFmtId="0" fontId="9" fillId="0" borderId="0" xfId="0" applyFont="1"/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0" fillId="0" borderId="8" xfId="0" applyFont="1" applyFill="1" applyBorder="1" applyAlignment="1">
      <alignment horizontal="center"/>
    </xf>
    <xf numFmtId="0" fontId="9" fillId="0" borderId="11" xfId="0" applyFont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0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" fontId="0" fillId="0" borderId="14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" fillId="0" borderId="38" xfId="0" applyFont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37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vertical="center" wrapText="1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7" fillId="10" borderId="1" xfId="0" applyFont="1" applyFill="1" applyBorder="1" applyAlignment="1" applyProtection="1">
      <alignment horizontal="center" vertical="center"/>
      <protection locked="0"/>
    </xf>
    <xf numFmtId="0" fontId="7" fillId="10" borderId="5" xfId="0" applyFont="1" applyFill="1" applyBorder="1" applyAlignment="1" applyProtection="1">
      <alignment horizontal="center" vertical="center"/>
      <protection locked="0"/>
    </xf>
    <xf numFmtId="0" fontId="3" fillId="5" borderId="21" xfId="0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10" borderId="1" xfId="0" applyFont="1" applyFill="1" applyBorder="1" applyAlignment="1" applyProtection="1">
      <alignment horizontal="center" vertical="center"/>
      <protection locked="0"/>
    </xf>
    <xf numFmtId="0" fontId="2" fillId="0" borderId="38" xfId="0" applyFont="1" applyFill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6" fillId="0" borderId="0" xfId="0" applyFont="1" applyProtection="1"/>
    <xf numFmtId="0" fontId="14" fillId="0" borderId="0" xfId="0" applyFont="1" applyProtection="1"/>
    <xf numFmtId="0" fontId="6" fillId="4" borderId="62" xfId="0" applyFont="1" applyFill="1" applyBorder="1" applyAlignment="1" applyProtection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/>
    </xf>
    <xf numFmtId="0" fontId="6" fillId="4" borderId="54" xfId="0" applyFont="1" applyFill="1" applyBorder="1" applyAlignment="1" applyProtection="1">
      <alignment horizontal="center" vertical="center" wrapText="1"/>
    </xf>
    <xf numFmtId="1" fontId="6" fillId="0" borderId="59" xfId="0" applyNumberFormat="1" applyFont="1" applyBorder="1" applyAlignment="1" applyProtection="1">
      <alignment horizontal="center" vertical="center"/>
    </xf>
    <xf numFmtId="0" fontId="6" fillId="0" borderId="0" xfId="0" applyFont="1" applyBorder="1" applyProtection="1"/>
    <xf numFmtId="0" fontId="6" fillId="0" borderId="49" xfId="0" applyFont="1" applyBorder="1" applyProtection="1"/>
    <xf numFmtId="0" fontId="20" fillId="12" borderId="4" xfId="0" applyFont="1" applyFill="1" applyBorder="1" applyAlignment="1" applyProtection="1">
      <alignment horizontal="center" vertical="center" wrapText="1"/>
    </xf>
    <xf numFmtId="1" fontId="6" fillId="0" borderId="5" xfId="0" applyNumberFormat="1" applyFont="1" applyBorder="1" applyAlignment="1" applyProtection="1">
      <alignment horizontal="center" vertical="center"/>
    </xf>
    <xf numFmtId="0" fontId="6" fillId="13" borderId="5" xfId="0" applyFont="1" applyFill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/>
    </xf>
    <xf numFmtId="0" fontId="20" fillId="12" borderId="12" xfId="0" applyFont="1" applyFill="1" applyBorder="1" applyAlignment="1" applyProtection="1">
      <alignment horizontal="center" vertical="center" wrapText="1"/>
    </xf>
    <xf numFmtId="1" fontId="6" fillId="0" borderId="13" xfId="0" applyNumberFormat="1" applyFont="1" applyBorder="1" applyAlignment="1" applyProtection="1">
      <alignment horizontal="center" vertical="center"/>
    </xf>
    <xf numFmtId="0" fontId="6" fillId="13" borderId="13" xfId="0" applyFont="1" applyFill="1" applyBorder="1" applyAlignment="1" applyProtection="1">
      <alignment horizontal="center" vertical="center" wrapText="1"/>
    </xf>
    <xf numFmtId="0" fontId="6" fillId="0" borderId="14" xfId="0" applyFont="1" applyBorder="1" applyAlignment="1" applyProtection="1">
      <alignment horizontal="center" vertical="center"/>
    </xf>
    <xf numFmtId="164" fontId="6" fillId="14" borderId="5" xfId="0" applyNumberFormat="1" applyFont="1" applyFill="1" applyBorder="1" applyAlignment="1" applyProtection="1">
      <alignment horizontal="center" vertical="center"/>
    </xf>
    <xf numFmtId="164" fontId="6" fillId="14" borderId="3" xfId="0" applyNumberFormat="1" applyFont="1" applyFill="1" applyBorder="1" applyAlignment="1" applyProtection="1">
      <alignment horizontal="center" vertical="center"/>
    </xf>
    <xf numFmtId="0" fontId="6" fillId="14" borderId="13" xfId="0" applyFont="1" applyFill="1" applyBorder="1" applyAlignment="1" applyProtection="1">
      <alignment horizontal="center" vertical="center"/>
    </xf>
    <xf numFmtId="0" fontId="20" fillId="12" borderId="13" xfId="0" applyFont="1" applyFill="1" applyBorder="1" applyAlignment="1" applyProtection="1">
      <alignment horizontal="center" vertical="center" wrapText="1"/>
    </xf>
    <xf numFmtId="164" fontId="6" fillId="14" borderId="14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5" borderId="66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>
      <alignment horizontal="center" vertical="center"/>
    </xf>
    <xf numFmtId="0" fontId="18" fillId="13" borderId="67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 applyProtection="1">
      <alignment horizontal="center" vertical="center"/>
      <protection locked="0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0" fontId="3" fillId="17" borderId="6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6" fillId="9" borderId="49" xfId="0" applyFont="1" applyFill="1" applyBorder="1" applyAlignment="1">
      <alignment horizontal="center" vertical="center" wrapText="1"/>
    </xf>
    <xf numFmtId="0" fontId="3" fillId="13" borderId="4" xfId="0" applyFont="1" applyFill="1" applyBorder="1" applyAlignment="1">
      <alignment horizontal="center" vertical="center"/>
    </xf>
    <xf numFmtId="0" fontId="3" fillId="13" borderId="11" xfId="0" applyFont="1" applyFill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0" fontId="3" fillId="13" borderId="3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20" fontId="8" fillId="0" borderId="0" xfId="0" applyNumberFormat="1" applyFont="1" applyFill="1" applyBorder="1" applyAlignment="1" applyProtection="1">
      <alignment vertical="center" wrapText="1"/>
      <protection locked="0"/>
    </xf>
    <xf numFmtId="20" fontId="8" fillId="0" borderId="0" xfId="0" applyNumberFormat="1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/>
    </xf>
    <xf numFmtId="0" fontId="3" fillId="13" borderId="36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10" borderId="37" xfId="0" applyFont="1" applyFill="1" applyBorder="1" applyAlignment="1" applyProtection="1">
      <alignment horizontal="center" vertical="center"/>
      <protection locked="0"/>
    </xf>
    <xf numFmtId="0" fontId="3" fillId="13" borderId="10" xfId="0" applyFont="1" applyFill="1" applyBorder="1" applyAlignment="1">
      <alignment horizontal="center" vertical="center"/>
    </xf>
    <xf numFmtId="0" fontId="3" fillId="13" borderId="6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/>
    </xf>
    <xf numFmtId="0" fontId="24" fillId="0" borderId="0" xfId="0" applyFont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0" fontId="3" fillId="13" borderId="64" xfId="0" applyFont="1" applyFill="1" applyBorder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0" fontId="3" fillId="10" borderId="34" xfId="0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  <protection locked="0"/>
    </xf>
    <xf numFmtId="0" fontId="3" fillId="9" borderId="6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8" borderId="7" xfId="0" applyFont="1" applyFill="1" applyBorder="1" applyAlignment="1" applyProtection="1">
      <alignment horizontal="center" vertical="center"/>
      <protection locked="0"/>
    </xf>
    <xf numFmtId="0" fontId="2" fillId="18" borderId="7" xfId="0" applyFont="1" applyFill="1" applyBorder="1" applyAlignment="1" applyProtection="1">
      <alignment horizontal="center" vertic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2" fillId="16" borderId="7" xfId="0" applyFont="1" applyFill="1" applyBorder="1" applyAlignment="1" applyProtection="1">
      <alignment horizontal="center" vertical="center"/>
      <protection locked="0"/>
    </xf>
    <xf numFmtId="0" fontId="2" fillId="18" borderId="14" xfId="0" applyFont="1" applyFill="1" applyBorder="1" applyAlignment="1" applyProtection="1">
      <alignment horizontal="center" vertical="center"/>
      <protection locked="0"/>
    </xf>
    <xf numFmtId="20" fontId="17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10" borderId="37" xfId="0" applyFont="1" applyFill="1" applyBorder="1" applyAlignment="1" applyProtection="1">
      <alignment horizontal="center" vertical="center"/>
      <protection locked="0"/>
    </xf>
    <xf numFmtId="0" fontId="13" fillId="12" borderId="26" xfId="0" applyFont="1" applyFill="1" applyBorder="1" applyAlignment="1" applyProtection="1">
      <alignment horizontal="center" vertical="center"/>
    </xf>
    <xf numFmtId="0" fontId="3" fillId="5" borderId="41" xfId="0" applyFont="1" applyFill="1" applyBorder="1" applyAlignment="1" applyProtection="1">
      <alignment horizontal="center" vertical="center"/>
    </xf>
    <xf numFmtId="0" fontId="13" fillId="12" borderId="27" xfId="0" applyFont="1" applyFill="1" applyBorder="1" applyAlignment="1" applyProtection="1">
      <alignment horizontal="center" vertical="center"/>
    </xf>
    <xf numFmtId="0" fontId="3" fillId="5" borderId="21" xfId="0" applyFont="1" applyFill="1" applyBorder="1" applyAlignment="1" applyProtection="1">
      <alignment horizontal="center" vertical="center"/>
    </xf>
    <xf numFmtId="0" fontId="13" fillId="12" borderId="70" xfId="0" applyFont="1" applyFill="1" applyBorder="1" applyAlignment="1" applyProtection="1">
      <alignment horizontal="center" vertical="center"/>
    </xf>
    <xf numFmtId="0" fontId="3" fillId="5" borderId="47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3" fillId="5" borderId="37" xfId="0" applyFont="1" applyFill="1" applyBorder="1" applyAlignment="1" applyProtection="1">
      <alignment horizontal="center" vertical="center"/>
    </xf>
    <xf numFmtId="0" fontId="13" fillId="12" borderId="8" xfId="0" applyFont="1" applyFill="1" applyBorder="1" applyAlignment="1" applyProtection="1">
      <alignment horizontal="center" vertical="center"/>
    </xf>
    <xf numFmtId="0" fontId="3" fillId="5" borderId="9" xfId="0" applyFont="1" applyFill="1" applyBorder="1" applyAlignment="1" applyProtection="1">
      <alignment horizontal="center" vertical="center"/>
    </xf>
    <xf numFmtId="0" fontId="7" fillId="10" borderId="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3" fillId="13" borderId="8" xfId="0" applyFont="1" applyFill="1" applyBorder="1" applyAlignment="1" applyProtection="1">
      <alignment horizontal="center" vertical="center"/>
    </xf>
    <xf numFmtId="0" fontId="13" fillId="12" borderId="4" xfId="0" applyFont="1" applyFill="1" applyBorder="1" applyAlignment="1" applyProtection="1">
      <alignment horizontal="center" vertical="center"/>
    </xf>
    <xf numFmtId="0" fontId="3" fillId="5" borderId="5" xfId="0" applyFont="1" applyFill="1" applyBorder="1" applyAlignment="1" applyProtection="1">
      <alignment horizontal="center" vertical="center"/>
    </xf>
    <xf numFmtId="0" fontId="13" fillId="12" borderId="11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13" fillId="12" borderId="36" xfId="0" applyFont="1" applyFill="1" applyBorder="1" applyAlignment="1" applyProtection="1">
      <alignment horizontal="center" vertical="center"/>
    </xf>
    <xf numFmtId="0" fontId="3" fillId="17" borderId="6" xfId="0" applyFont="1" applyFill="1" applyBorder="1" applyAlignment="1" applyProtection="1">
      <alignment horizontal="center" vertical="center" wrapText="1"/>
    </xf>
    <xf numFmtId="0" fontId="13" fillId="12" borderId="4" xfId="0" applyFont="1" applyFill="1" applyBorder="1" applyAlignment="1" applyProtection="1">
      <alignment horizontal="center" vertical="center" wrapText="1"/>
    </xf>
    <xf numFmtId="0" fontId="13" fillId="12" borderId="11" xfId="0" applyFont="1" applyFill="1" applyBorder="1" applyAlignment="1" applyProtection="1">
      <alignment horizontal="center" vertical="center" wrapText="1"/>
    </xf>
    <xf numFmtId="0" fontId="2" fillId="5" borderId="37" xfId="0" applyFont="1" applyFill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2" fillId="0" borderId="23" xfId="0" applyFont="1" applyFill="1" applyBorder="1" applyAlignment="1" applyProtection="1">
      <alignment horizontal="center" vertical="center"/>
    </xf>
    <xf numFmtId="0" fontId="18" fillId="13" borderId="19" xfId="0" applyFont="1" applyFill="1" applyBorder="1" applyAlignment="1" applyProtection="1">
      <alignment horizontal="center" vertical="center" wrapText="1"/>
    </xf>
    <xf numFmtId="0" fontId="2" fillId="0" borderId="25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13" fillId="12" borderId="36" xfId="0" applyFont="1" applyFill="1" applyBorder="1" applyAlignment="1" applyProtection="1">
      <alignment horizontal="center" vertical="center" wrapText="1"/>
    </xf>
    <xf numFmtId="9" fontId="2" fillId="0" borderId="53" xfId="0" applyNumberFormat="1" applyFont="1" applyBorder="1" applyAlignment="1">
      <alignment horizontal="center" vertical="center"/>
    </xf>
    <xf numFmtId="0" fontId="13" fillId="12" borderId="8" xfId="0" applyFont="1" applyFill="1" applyBorder="1" applyAlignment="1" applyProtection="1">
      <alignment horizontal="center" vertical="center" wrapText="1"/>
    </xf>
    <xf numFmtId="9" fontId="2" fillId="0" borderId="9" xfId="0" applyNumberFormat="1" applyFont="1" applyBorder="1" applyAlignment="1">
      <alignment horizontal="center" vertical="center"/>
    </xf>
    <xf numFmtId="0" fontId="2" fillId="0" borderId="25" xfId="0" applyFont="1" applyBorder="1" applyAlignment="1" applyProtection="1">
      <alignment horizontal="center" vertical="center"/>
    </xf>
    <xf numFmtId="0" fontId="13" fillId="12" borderId="6" xfId="0" applyFont="1" applyFill="1" applyBorder="1" applyAlignment="1" applyProtection="1">
      <alignment horizontal="center" vertical="center"/>
    </xf>
    <xf numFmtId="0" fontId="3" fillId="5" borderId="6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9" borderId="16" xfId="0" applyFont="1" applyFill="1" applyBorder="1" applyAlignment="1">
      <alignment horizontal="center" vertical="center" wrapText="1"/>
    </xf>
    <xf numFmtId="0" fontId="25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wrapText="1"/>
    </xf>
    <xf numFmtId="0" fontId="0" fillId="0" borderId="52" xfId="0" applyBorder="1"/>
    <xf numFmtId="0" fontId="9" fillId="0" borderId="0" xfId="0" applyFont="1" applyBorder="1" applyAlignment="1">
      <alignment vertical="top" wrapText="1"/>
    </xf>
    <xf numFmtId="0" fontId="9" fillId="21" borderId="15" xfId="0" applyFont="1" applyFill="1" applyBorder="1"/>
    <xf numFmtId="0" fontId="9" fillId="21" borderId="0" xfId="0" applyFont="1" applyFill="1" applyBorder="1"/>
    <xf numFmtId="0" fontId="0" fillId="21" borderId="0" xfId="0" applyFont="1" applyFill="1" applyBorder="1"/>
    <xf numFmtId="0" fontId="9" fillId="15" borderId="15" xfId="0" applyFont="1" applyFill="1" applyBorder="1"/>
    <xf numFmtId="0" fontId="9" fillId="15" borderId="0" xfId="0" applyFont="1" applyFill="1" applyBorder="1"/>
    <xf numFmtId="0" fontId="0" fillId="15" borderId="15" xfId="0" applyFont="1" applyFill="1" applyBorder="1"/>
    <xf numFmtId="0" fontId="26" fillId="0" borderId="0" xfId="0" applyFont="1"/>
    <xf numFmtId="0" fontId="0" fillId="21" borderId="22" xfId="0" applyFill="1" applyBorder="1" applyAlignment="1" applyProtection="1">
      <alignment horizontal="center"/>
      <protection hidden="1"/>
    </xf>
    <xf numFmtId="0" fontId="0" fillId="21" borderId="49" xfId="0" applyFill="1" applyBorder="1" applyAlignment="1" applyProtection="1">
      <alignment horizontal="center"/>
      <protection hidden="1"/>
    </xf>
    <xf numFmtId="0" fontId="0" fillId="15" borderId="22" xfId="0" applyFill="1" applyBorder="1" applyAlignment="1" applyProtection="1">
      <alignment horizontal="center"/>
      <protection hidden="1"/>
    </xf>
    <xf numFmtId="0" fontId="0" fillId="15" borderId="49" xfId="0" applyFill="1" applyBorder="1" applyAlignment="1" applyProtection="1">
      <alignment horizontal="center"/>
      <protection hidden="1"/>
    </xf>
    <xf numFmtId="0" fontId="6" fillId="20" borderId="6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6" fillId="9" borderId="16" xfId="0" applyFont="1" applyFill="1" applyBorder="1" applyAlignment="1">
      <alignment horizontal="center" vertical="center" wrapText="1"/>
    </xf>
    <xf numFmtId="0" fontId="19" fillId="15" borderId="1" xfId="0" applyFont="1" applyFill="1" applyBorder="1" applyAlignment="1" applyProtection="1">
      <alignment horizontal="center" vertical="center" wrapText="1"/>
      <protection locked="0"/>
    </xf>
    <xf numFmtId="0" fontId="19" fillId="15" borderId="7" xfId="0" applyFont="1" applyFill="1" applyBorder="1" applyAlignment="1" applyProtection="1">
      <alignment horizontal="center" vertical="center" wrapText="1"/>
      <protection locked="0"/>
    </xf>
    <xf numFmtId="0" fontId="19" fillId="15" borderId="13" xfId="0" applyFont="1" applyFill="1" applyBorder="1" applyAlignment="1" applyProtection="1">
      <alignment horizontal="center" vertical="center" wrapText="1"/>
      <protection locked="0"/>
    </xf>
    <xf numFmtId="0" fontId="19" fillId="15" borderId="14" xfId="0" applyFont="1" applyFill="1" applyBorder="1" applyAlignment="1" applyProtection="1">
      <alignment horizontal="center" vertical="center" wrapText="1"/>
      <protection locked="0"/>
    </xf>
    <xf numFmtId="0" fontId="6" fillId="4" borderId="1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center" vertical="center" wrapText="1"/>
    </xf>
    <xf numFmtId="0" fontId="14" fillId="16" borderId="18" xfId="0" applyFont="1" applyFill="1" applyBorder="1" applyAlignment="1" applyProtection="1">
      <alignment horizontal="center" vertical="center" wrapText="1"/>
    </xf>
    <xf numFmtId="0" fontId="0" fillId="16" borderId="15" xfId="0" applyFill="1" applyBorder="1" applyAlignment="1" applyProtection="1">
      <alignment horizontal="center" vertical="center" wrapText="1"/>
    </xf>
    <xf numFmtId="0" fontId="0" fillId="16" borderId="63" xfId="0" applyFill="1" applyBorder="1" applyAlignment="1" applyProtection="1">
      <alignment horizontal="center" vertical="center" wrapText="1"/>
    </xf>
    <xf numFmtId="0" fontId="19" fillId="15" borderId="15" xfId="0" applyFont="1" applyFill="1" applyBorder="1" applyAlignment="1" applyProtection="1">
      <alignment horizontal="center" vertical="center" wrapText="1"/>
      <protection locked="0"/>
    </xf>
    <xf numFmtId="0" fontId="19" fillId="15" borderId="22" xfId="0" applyFont="1" applyFill="1" applyBorder="1" applyAlignment="1" applyProtection="1">
      <alignment horizontal="center" vertical="center" wrapText="1"/>
      <protection locked="0"/>
    </xf>
    <xf numFmtId="0" fontId="6" fillId="14" borderId="50" xfId="0" applyFont="1" applyFill="1" applyBorder="1" applyAlignment="1" applyProtection="1">
      <alignment horizontal="center" vertical="center"/>
    </xf>
    <xf numFmtId="0" fontId="0" fillId="14" borderId="0" xfId="0" applyFill="1" applyBorder="1" applyAlignment="1" applyProtection="1">
      <alignment horizontal="center"/>
    </xf>
    <xf numFmtId="0" fontId="6" fillId="14" borderId="0" xfId="0" applyFont="1" applyFill="1" applyBorder="1" applyAlignment="1" applyProtection="1"/>
    <xf numFmtId="0" fontId="14" fillId="14" borderId="18" xfId="0" applyFont="1" applyFill="1" applyBorder="1" applyAlignment="1" applyProtection="1">
      <alignment horizontal="center" vertical="center" wrapText="1"/>
    </xf>
    <xf numFmtId="0" fontId="0" fillId="14" borderId="15" xfId="0" applyFill="1" applyBorder="1" applyAlignment="1" applyProtection="1">
      <alignment horizontal="center" vertical="center" wrapText="1"/>
    </xf>
    <xf numFmtId="0" fontId="0" fillId="14" borderId="22" xfId="0" applyFill="1" applyBorder="1" applyAlignment="1" applyProtection="1">
      <alignment horizontal="center" vertical="center" wrapText="1"/>
    </xf>
    <xf numFmtId="0" fontId="0" fillId="14" borderId="64" xfId="0" applyFill="1" applyBorder="1" applyAlignment="1" applyProtection="1">
      <alignment horizontal="center" vertical="center" wrapText="1"/>
    </xf>
    <xf numFmtId="0" fontId="0" fillId="14" borderId="65" xfId="0" applyFill="1" applyBorder="1" applyAlignment="1" applyProtection="1">
      <alignment horizontal="center" vertical="center" wrapText="1"/>
    </xf>
    <xf numFmtId="0" fontId="0" fillId="14" borderId="48" xfId="0" applyFill="1" applyBorder="1" applyAlignment="1" applyProtection="1">
      <alignment horizontal="center" vertical="center" wrapText="1"/>
    </xf>
    <xf numFmtId="0" fontId="6" fillId="4" borderId="67" xfId="0" applyFont="1" applyFill="1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/>
    </xf>
    <xf numFmtId="0" fontId="0" fillId="0" borderId="64" xfId="0" applyBorder="1" applyAlignment="1" applyProtection="1">
      <alignment horizontal="center" vertical="center"/>
    </xf>
    <xf numFmtId="0" fontId="0" fillId="0" borderId="65" xfId="0" applyBorder="1" applyAlignment="1" applyProtection="1">
      <alignment horizontal="center" vertical="center"/>
    </xf>
    <xf numFmtId="0" fontId="6" fillId="4" borderId="64" xfId="0" applyFont="1" applyFill="1" applyBorder="1" applyAlignment="1" applyProtection="1">
      <alignment horizontal="center" vertical="center" wrapText="1"/>
    </xf>
    <xf numFmtId="0" fontId="0" fillId="0" borderId="65" xfId="0" applyBorder="1" applyAlignment="1" applyProtection="1">
      <alignment horizontal="center" vertical="center" wrapText="1"/>
    </xf>
    <xf numFmtId="0" fontId="0" fillId="0" borderId="66" xfId="0" applyBorder="1" applyAlignment="1" applyProtection="1">
      <alignment horizontal="center" vertical="center" wrapText="1"/>
    </xf>
    <xf numFmtId="0" fontId="19" fillId="15" borderId="24" xfId="0" applyFont="1" applyFill="1" applyBorder="1" applyAlignment="1" applyProtection="1">
      <alignment horizontal="center" vertical="center" wrapText="1"/>
      <protection locked="0"/>
    </xf>
    <xf numFmtId="0" fontId="19" fillId="15" borderId="2" xfId="0" applyFont="1" applyFill="1" applyBorder="1" applyAlignment="1" applyProtection="1">
      <alignment horizontal="center" vertical="center" wrapText="1"/>
      <protection locked="0"/>
    </xf>
    <xf numFmtId="0" fontId="19" fillId="15" borderId="30" xfId="0" applyFont="1" applyFill="1" applyBorder="1" applyAlignment="1" applyProtection="1">
      <alignment horizontal="center" vertical="center" wrapText="1"/>
      <protection locked="0"/>
    </xf>
    <xf numFmtId="0" fontId="6" fillId="4" borderId="50" xfId="0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6" fillId="4" borderId="10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68" xfId="0" applyBorder="1" applyAlignment="1" applyProtection="1">
      <alignment horizontal="center" vertical="center" wrapText="1"/>
    </xf>
    <xf numFmtId="0" fontId="0" fillId="0" borderId="47" xfId="0" applyBorder="1" applyAlignment="1" applyProtection="1">
      <alignment horizontal="center" vertical="center" wrapText="1"/>
    </xf>
    <xf numFmtId="0" fontId="0" fillId="0" borderId="5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64" xfId="0" applyBorder="1" applyAlignment="1" applyProtection="1">
      <alignment horizontal="center" vertical="center" wrapText="1"/>
    </xf>
    <xf numFmtId="0" fontId="19" fillId="15" borderId="46" xfId="0" applyFont="1" applyFill="1" applyBorder="1" applyAlignment="1" applyProtection="1">
      <alignment horizontal="center" vertical="center" wrapText="1"/>
      <protection locked="0"/>
    </xf>
    <xf numFmtId="0" fontId="19" fillId="15" borderId="68" xfId="0" applyFont="1" applyFill="1" applyBorder="1" applyAlignment="1" applyProtection="1">
      <alignment horizontal="center" vertical="center" wrapText="1"/>
      <protection locked="0"/>
    </xf>
    <xf numFmtId="0" fontId="19" fillId="15" borderId="40" xfId="0" applyFont="1" applyFill="1" applyBorder="1" applyAlignment="1" applyProtection="1">
      <alignment horizontal="center" vertical="center" wrapText="1"/>
      <protection locked="0"/>
    </xf>
    <xf numFmtId="0" fontId="19" fillId="15" borderId="51" xfId="0" applyFont="1" applyFill="1" applyBorder="1" applyAlignment="1" applyProtection="1">
      <alignment horizontal="center" vertical="center" wrapText="1"/>
      <protection locked="0"/>
    </xf>
    <xf numFmtId="0" fontId="19" fillId="15" borderId="0" xfId="0" applyFont="1" applyFill="1" applyAlignment="1" applyProtection="1">
      <alignment horizontal="center" vertical="center" wrapText="1"/>
      <protection locked="0"/>
    </xf>
    <xf numFmtId="0" fontId="19" fillId="15" borderId="49" xfId="0" applyFont="1" applyFill="1" applyBorder="1" applyAlignment="1" applyProtection="1">
      <alignment horizontal="center" vertical="center" wrapText="1"/>
      <protection locked="0"/>
    </xf>
    <xf numFmtId="0" fontId="19" fillId="15" borderId="69" xfId="0" applyFont="1" applyFill="1" applyBorder="1" applyAlignment="1" applyProtection="1">
      <alignment horizontal="center" vertical="center" wrapText="1"/>
      <protection locked="0"/>
    </xf>
    <xf numFmtId="0" fontId="19" fillId="15" borderId="65" xfId="0" applyFont="1" applyFill="1" applyBorder="1" applyAlignment="1" applyProtection="1">
      <alignment horizontal="center" vertical="center" wrapText="1"/>
      <protection locked="0"/>
    </xf>
    <xf numFmtId="0" fontId="19" fillId="15" borderId="48" xfId="0" applyFont="1" applyFill="1" applyBorder="1" applyAlignment="1" applyProtection="1">
      <alignment horizontal="center" vertical="center" wrapText="1"/>
      <protection locked="0"/>
    </xf>
    <xf numFmtId="0" fontId="0" fillId="16" borderId="50" xfId="0" applyFill="1" applyBorder="1" applyAlignment="1" applyProtection="1">
      <alignment horizontal="center" vertical="center" wrapText="1"/>
    </xf>
    <xf numFmtId="0" fontId="0" fillId="16" borderId="0" xfId="0" applyFill="1" applyAlignment="1" applyProtection="1">
      <alignment horizontal="center" vertical="center" wrapText="1"/>
    </xf>
    <xf numFmtId="0" fontId="0" fillId="16" borderId="56" xfId="0" applyFill="1" applyBorder="1" applyAlignment="1" applyProtection="1">
      <alignment horizontal="center" vertical="center" wrapText="1"/>
    </xf>
    <xf numFmtId="0" fontId="0" fillId="16" borderId="55" xfId="0" applyFill="1" applyBorder="1" applyAlignment="1" applyProtection="1">
      <alignment horizontal="center" vertical="center" wrapText="1"/>
    </xf>
    <xf numFmtId="0" fontId="0" fillId="16" borderId="52" xfId="0" applyFill="1" applyBorder="1" applyAlignment="1" applyProtection="1">
      <alignment horizontal="center" vertical="center" wrapText="1"/>
    </xf>
    <xf numFmtId="0" fontId="0" fillId="16" borderId="58" xfId="0" applyFill="1" applyBorder="1" applyAlignment="1" applyProtection="1">
      <alignment horizontal="center" vertical="center" wrapText="1"/>
    </xf>
    <xf numFmtId="0" fontId="19" fillId="15" borderId="57" xfId="0" applyFont="1" applyFill="1" applyBorder="1" applyAlignment="1" applyProtection="1">
      <alignment horizontal="center" vertical="center" wrapText="1"/>
      <protection locked="0"/>
    </xf>
    <xf numFmtId="0" fontId="19" fillId="15" borderId="0" xfId="0" applyFont="1" applyFill="1" applyBorder="1" applyAlignment="1" applyProtection="1">
      <alignment horizontal="center" vertical="center" wrapText="1"/>
      <protection locked="0"/>
    </xf>
    <xf numFmtId="0" fontId="19" fillId="15" borderId="61" xfId="0" applyFont="1" applyFill="1" applyBorder="1" applyAlignment="1" applyProtection="1">
      <alignment horizontal="center" vertical="center" wrapText="1"/>
      <protection locked="0"/>
    </xf>
    <xf numFmtId="0" fontId="19" fillId="15" borderId="52" xfId="0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left" vertical="center" wrapText="1"/>
    </xf>
    <xf numFmtId="0" fontId="6" fillId="4" borderId="20" xfId="0" applyFont="1" applyFill="1" applyBorder="1" applyAlignment="1" applyProtection="1">
      <alignment horizontal="left" vertical="center" wrapText="1"/>
    </xf>
    <xf numFmtId="0" fontId="6" fillId="4" borderId="16" xfId="0" applyFont="1" applyFill="1" applyBorder="1" applyAlignment="1" applyProtection="1">
      <alignment horizontal="left" vertical="center" wrapText="1"/>
    </xf>
    <xf numFmtId="0" fontId="14" fillId="14" borderId="19" xfId="0" applyFont="1" applyFill="1" applyBorder="1" applyAlignment="1" applyProtection="1">
      <alignment horizontal="center" vertical="center"/>
    </xf>
    <xf numFmtId="0" fontId="22" fillId="14" borderId="20" xfId="0" applyFont="1" applyFill="1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6" fillId="4" borderId="4" xfId="0" applyFont="1" applyFill="1" applyBorder="1" applyAlignment="1" applyProtection="1">
      <alignment horizontal="center" vertical="center" wrapText="1"/>
    </xf>
    <xf numFmtId="0" fontId="6" fillId="4" borderId="5" xfId="0" applyFont="1" applyFill="1" applyBorder="1" applyAlignment="1" applyProtection="1">
      <alignment horizontal="center" vertical="center"/>
    </xf>
    <xf numFmtId="0" fontId="6" fillId="4" borderId="11" xfId="0" applyFont="1" applyFill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19" fillId="15" borderId="5" xfId="0" applyFont="1" applyFill="1" applyBorder="1" applyAlignment="1" applyProtection="1">
      <alignment horizontal="center" vertical="center" wrapText="1"/>
      <protection locked="0"/>
    </xf>
    <xf numFmtId="0" fontId="19" fillId="15" borderId="3" xfId="0" applyFont="1" applyFill="1" applyBorder="1" applyAlignment="1" applyProtection="1">
      <alignment horizontal="center" vertical="center" wrapText="1"/>
      <protection locked="0"/>
    </xf>
    <xf numFmtId="0" fontId="14" fillId="14" borderId="19" xfId="0" applyFont="1" applyFill="1" applyBorder="1" applyAlignment="1" applyProtection="1">
      <alignment horizontal="center" vertical="center" wrapText="1"/>
    </xf>
    <xf numFmtId="0" fontId="22" fillId="14" borderId="16" xfId="0" applyFont="1" applyFill="1" applyBorder="1" applyAlignment="1" applyProtection="1">
      <alignment horizontal="center" vertical="center"/>
    </xf>
    <xf numFmtId="0" fontId="6" fillId="14" borderId="0" xfId="0" applyFont="1" applyFill="1" applyBorder="1" applyAlignment="1" applyProtection="1">
      <alignment horizontal="center" vertical="center"/>
    </xf>
    <xf numFmtId="0" fontId="9" fillId="14" borderId="0" xfId="0" applyFont="1" applyFill="1" applyBorder="1" applyAlignment="1" applyProtection="1">
      <alignment horizontal="left" vertical="center"/>
    </xf>
    <xf numFmtId="0" fontId="0" fillId="14" borderId="0" xfId="0" applyFill="1" applyBorder="1" applyAlignment="1" applyProtection="1"/>
    <xf numFmtId="0" fontId="0" fillId="14" borderId="50" xfId="0" applyFill="1" applyBorder="1" applyAlignment="1" applyProtection="1"/>
    <xf numFmtId="0" fontId="9" fillId="14" borderId="0" xfId="0" applyFont="1" applyFill="1" applyBorder="1" applyAlignment="1" applyProtection="1"/>
    <xf numFmtId="0" fontId="0" fillId="0" borderId="1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60" xfId="0" applyFont="1" applyFill="1" applyBorder="1" applyAlignment="1" applyProtection="1">
      <alignment horizontal="center" vertical="center" wrapText="1"/>
    </xf>
    <xf numFmtId="0" fontId="6" fillId="14" borderId="43" xfId="0" applyFont="1" applyFill="1" applyBorder="1" applyAlignment="1" applyProtection="1">
      <alignment horizontal="center" vertical="center" wrapText="1"/>
    </xf>
    <xf numFmtId="0" fontId="6" fillId="14" borderId="20" xfId="0" applyFont="1" applyFill="1" applyBorder="1" applyAlignment="1" applyProtection="1">
      <alignment horizontal="center" vertical="center" wrapText="1"/>
    </xf>
    <xf numFmtId="0" fontId="6" fillId="14" borderId="16" xfId="0" applyFont="1" applyFill="1" applyBorder="1" applyAlignment="1" applyProtection="1">
      <alignment horizontal="center" vertical="center" wrapText="1"/>
    </xf>
    <xf numFmtId="0" fontId="0" fillId="4" borderId="20" xfId="0" applyFill="1" applyBorder="1" applyAlignment="1" applyProtection="1">
      <alignment horizontal="left" vertical="center" wrapText="1"/>
    </xf>
    <xf numFmtId="0" fontId="0" fillId="4" borderId="16" xfId="0" applyFill="1" applyBorder="1" applyAlignment="1" applyProtection="1">
      <alignment horizontal="left" vertical="center" wrapText="1"/>
    </xf>
    <xf numFmtId="0" fontId="14" fillId="14" borderId="20" xfId="0" applyFont="1" applyFill="1" applyBorder="1" applyAlignment="1" applyProtection="1">
      <alignment horizontal="center" vertical="center" wrapText="1"/>
    </xf>
    <xf numFmtId="0" fontId="14" fillId="14" borderId="16" xfId="0" applyFont="1" applyFill="1" applyBorder="1" applyAlignment="1" applyProtection="1">
      <alignment horizontal="center" vertical="center" wrapText="1"/>
    </xf>
    <xf numFmtId="0" fontId="6" fillId="15" borderId="43" xfId="0" applyFont="1" applyFill="1" applyBorder="1" applyAlignment="1" applyProtection="1">
      <alignment horizontal="center" vertical="center" wrapText="1"/>
      <protection locked="0"/>
    </xf>
    <xf numFmtId="0" fontId="6" fillId="15" borderId="20" xfId="0" applyFont="1" applyFill="1" applyBorder="1" applyAlignment="1" applyProtection="1">
      <alignment horizontal="center" vertical="center" wrapText="1"/>
      <protection locked="0"/>
    </xf>
    <xf numFmtId="0" fontId="6" fillId="15" borderId="16" xfId="0" applyFont="1" applyFill="1" applyBorder="1" applyAlignment="1" applyProtection="1">
      <alignment horizontal="center" vertical="center" wrapText="1"/>
      <protection locked="0"/>
    </xf>
    <xf numFmtId="0" fontId="22" fillId="14" borderId="20" xfId="0" applyFont="1" applyFill="1" applyBorder="1" applyAlignment="1" applyProtection="1">
      <alignment vertical="center"/>
    </xf>
    <xf numFmtId="0" fontId="22" fillId="14" borderId="20" xfId="0" applyFont="1" applyFill="1" applyBorder="1" applyAlignment="1" applyProtection="1"/>
    <xf numFmtId="0" fontId="22" fillId="14" borderId="16" xfId="0" applyFont="1" applyFill="1" applyBorder="1" applyAlignment="1" applyProtection="1"/>
    <xf numFmtId="0" fontId="6" fillId="15" borderId="13" xfId="0" applyFont="1" applyFill="1" applyBorder="1" applyAlignment="1" applyProtection="1">
      <alignment horizontal="center" vertical="center" wrapText="1"/>
      <protection locked="0"/>
    </xf>
    <xf numFmtId="0" fontId="9" fillId="15" borderId="13" xfId="0" applyFont="1" applyFill="1" applyBorder="1" applyAlignment="1" applyProtection="1">
      <alignment horizontal="center" vertical="center"/>
      <protection locked="0"/>
    </xf>
    <xf numFmtId="0" fontId="9" fillId="15" borderId="14" xfId="0" applyFont="1" applyFill="1" applyBorder="1" applyAlignment="1" applyProtection="1">
      <alignment horizontal="center" vertical="center"/>
      <protection locked="0"/>
    </xf>
    <xf numFmtId="0" fontId="20" fillId="12" borderId="12" xfId="0" applyFont="1" applyFill="1" applyBorder="1" applyAlignment="1" applyProtection="1">
      <alignment horizontal="center" vertical="center" wrapText="1"/>
    </xf>
    <xf numFmtId="0" fontId="9" fillId="0" borderId="13" xfId="0" applyFont="1" applyBorder="1" applyAlignment="1" applyProtection="1">
      <alignment horizontal="center" vertical="center" wrapText="1"/>
    </xf>
    <xf numFmtId="0" fontId="21" fillId="12" borderId="18" xfId="0" applyFont="1" applyFill="1" applyBorder="1" applyAlignment="1" applyProtection="1">
      <alignment horizontal="center" vertical="center" wrapText="1"/>
    </xf>
    <xf numFmtId="0" fontId="23" fillId="12" borderId="15" xfId="0" applyFont="1" applyFill="1" applyBorder="1" applyAlignment="1" applyProtection="1">
      <alignment horizontal="center" vertical="center"/>
    </xf>
    <xf numFmtId="0" fontId="23" fillId="12" borderId="15" xfId="0" applyFont="1" applyFill="1" applyBorder="1" applyAlignment="1" applyProtection="1"/>
    <xf numFmtId="0" fontId="23" fillId="12" borderId="22" xfId="0" applyFont="1" applyFill="1" applyBorder="1" applyAlignment="1" applyProtection="1"/>
    <xf numFmtId="0" fontId="20" fillId="12" borderId="4" xfId="0" applyFont="1" applyFill="1" applyBorder="1" applyAlignment="1" applyProtection="1">
      <alignment horizontal="center" vertical="center" wrapText="1"/>
    </xf>
    <xf numFmtId="0" fontId="9" fillId="0" borderId="5" xfId="0" applyFont="1" applyBorder="1" applyAlignment="1" applyProtection="1">
      <alignment horizontal="center" vertical="center" wrapText="1"/>
    </xf>
    <xf numFmtId="0" fontId="6" fillId="15" borderId="5" xfId="0" applyFont="1" applyFill="1" applyBorder="1" applyAlignment="1" applyProtection="1">
      <alignment horizontal="center" vertical="center" wrapText="1"/>
      <protection locked="0"/>
    </xf>
    <xf numFmtId="0" fontId="9" fillId="15" borderId="5" xfId="0" applyFont="1" applyFill="1" applyBorder="1" applyAlignment="1" applyProtection="1">
      <alignment horizontal="center" vertical="center"/>
      <protection locked="0"/>
    </xf>
    <xf numFmtId="0" fontId="9" fillId="15" borderId="3" xfId="0" applyFont="1" applyFill="1" applyBorder="1" applyAlignment="1" applyProtection="1">
      <alignment horizontal="center" vertical="center"/>
      <protection locked="0"/>
    </xf>
    <xf numFmtId="0" fontId="15" fillId="0" borderId="19" xfId="0" applyFont="1" applyFill="1" applyBorder="1" applyAlignment="1" applyProtection="1">
      <alignment horizontal="left" vertical="center"/>
      <protection locked="0"/>
    </xf>
    <xf numFmtId="0" fontId="15" fillId="0" borderId="20" xfId="0" applyFont="1" applyFill="1" applyBorder="1" applyAlignment="1" applyProtection="1">
      <alignment horizontal="left" vertical="center"/>
      <protection locked="0"/>
    </xf>
    <xf numFmtId="0" fontId="15" fillId="0" borderId="16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>
      <alignment horizontal="center" vertical="center"/>
    </xf>
    <xf numFmtId="0" fontId="6" fillId="19" borderId="5" xfId="0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horizontal="center" vertical="center" wrapText="1"/>
    </xf>
    <xf numFmtId="20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3" xfId="0" applyFont="1" applyFill="1" applyBorder="1" applyAlignment="1" applyProtection="1">
      <alignment horizontal="center" vertical="center" wrapText="1"/>
      <protection locked="0"/>
    </xf>
    <xf numFmtId="0" fontId="8" fillId="18" borderId="18" xfId="0" applyFont="1" applyFill="1" applyBorder="1" applyAlignment="1">
      <alignment horizontal="center" vertical="center" wrapText="1"/>
    </xf>
    <xf numFmtId="0" fontId="8" fillId="18" borderId="15" xfId="0" applyFont="1" applyFill="1" applyBorder="1" applyAlignment="1">
      <alignment horizontal="center" vertical="center" wrapText="1"/>
    </xf>
    <xf numFmtId="0" fontId="8" fillId="18" borderId="22" xfId="0" applyFont="1" applyFill="1" applyBorder="1" applyAlignment="1">
      <alignment horizontal="center" vertical="center" wrapText="1"/>
    </xf>
    <xf numFmtId="0" fontId="6" fillId="19" borderId="3" xfId="0" applyFont="1" applyFill="1" applyBorder="1" applyAlignment="1">
      <alignment horizontal="center" vertical="center" wrapText="1"/>
    </xf>
    <xf numFmtId="0" fontId="6" fillId="19" borderId="7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3" fillId="0" borderId="38" xfId="0" applyFont="1" applyFill="1" applyBorder="1" applyAlignment="1" applyProtection="1">
      <alignment horizontal="center" vertical="center" wrapText="1"/>
      <protection locked="0"/>
    </xf>
    <xf numFmtId="0" fontId="3" fillId="0" borderId="59" xfId="0" applyFont="1" applyFill="1" applyBorder="1" applyAlignment="1" applyProtection="1">
      <alignment horizontal="center" vertical="center" wrapText="1"/>
      <protection locked="0"/>
    </xf>
    <xf numFmtId="0" fontId="16" fillId="3" borderId="19" xfId="0" applyFont="1" applyFill="1" applyBorder="1" applyAlignment="1">
      <alignment horizontal="center" vertical="center"/>
    </xf>
    <xf numFmtId="0" fontId="16" fillId="3" borderId="20" xfId="0" applyFont="1" applyFill="1" applyBorder="1" applyAlignment="1">
      <alignment horizontal="center" vertical="center"/>
    </xf>
    <xf numFmtId="0" fontId="16" fillId="3" borderId="16" xfId="0" applyFont="1" applyFill="1" applyBorder="1" applyAlignment="1">
      <alignment horizontal="center" vertical="center"/>
    </xf>
    <xf numFmtId="14" fontId="15" fillId="0" borderId="19" xfId="0" applyNumberFormat="1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8" fillId="18" borderId="19" xfId="0" applyFont="1" applyFill="1" applyBorder="1" applyAlignment="1">
      <alignment horizontal="center" vertical="center"/>
    </xf>
    <xf numFmtId="0" fontId="8" fillId="18" borderId="20" xfId="0" applyFont="1" applyFill="1" applyBorder="1" applyAlignment="1">
      <alignment horizontal="center" vertical="center"/>
    </xf>
    <xf numFmtId="0" fontId="8" fillId="18" borderId="16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6" fillId="19" borderId="72" xfId="0" applyFont="1" applyFill="1" applyBorder="1" applyAlignment="1">
      <alignment horizontal="center" vertical="center" wrapText="1"/>
    </xf>
    <xf numFmtId="0" fontId="6" fillId="19" borderId="35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/>
    </xf>
    <xf numFmtId="0" fontId="6" fillId="19" borderId="4" xfId="0" applyFont="1" applyFill="1" applyBorder="1" applyAlignment="1">
      <alignment horizontal="center" vertical="center" wrapText="1"/>
    </xf>
    <xf numFmtId="0" fontId="6" fillId="19" borderId="11" xfId="0" applyFont="1" applyFill="1" applyBorder="1" applyAlignment="1">
      <alignment horizontal="center" vertical="center" wrapText="1"/>
    </xf>
    <xf numFmtId="0" fontId="8" fillId="7" borderId="33" xfId="0" applyFont="1" applyFill="1" applyBorder="1" applyAlignment="1">
      <alignment horizontal="center" vertical="center" wrapText="1"/>
    </xf>
    <xf numFmtId="0" fontId="8" fillId="7" borderId="34" xfId="0" applyFont="1" applyFill="1" applyBorder="1" applyAlignment="1">
      <alignment horizontal="center" vertical="center" wrapText="1"/>
    </xf>
    <xf numFmtId="0" fontId="8" fillId="7" borderId="35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3" borderId="19" xfId="0" applyFont="1" applyFill="1" applyBorder="1" applyAlignment="1" applyProtection="1">
      <alignment horizontal="center" vertical="center" wrapText="1"/>
    </xf>
    <xf numFmtId="0" fontId="8" fillId="3" borderId="20" xfId="0" applyFont="1" applyFill="1" applyBorder="1" applyAlignment="1" applyProtection="1">
      <alignment horizontal="center" vertical="center" wrapText="1"/>
    </xf>
    <xf numFmtId="0" fontId="8" fillId="3" borderId="16" xfId="0" applyFont="1" applyFill="1" applyBorder="1" applyAlignment="1" applyProtection="1">
      <alignment horizontal="center" vertical="center" wrapText="1"/>
    </xf>
    <xf numFmtId="0" fontId="3" fillId="9" borderId="19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16" xfId="0" applyFont="1" applyFill="1" applyBorder="1" applyAlignment="1">
      <alignment horizontal="center" vertical="center"/>
    </xf>
    <xf numFmtId="0" fontId="8" fillId="3" borderId="19" xfId="0" applyFont="1" applyFill="1" applyBorder="1" applyAlignment="1" applyProtection="1">
      <alignment horizontal="center" vertical="center"/>
    </xf>
    <xf numFmtId="0" fontId="8" fillId="3" borderId="20" xfId="0" applyFont="1" applyFill="1" applyBorder="1" applyAlignment="1" applyProtection="1">
      <alignment horizontal="center" vertical="center"/>
    </xf>
    <xf numFmtId="0" fontId="8" fillId="3" borderId="16" xfId="0" applyFont="1" applyFill="1" applyBorder="1" applyAlignment="1" applyProtection="1">
      <alignment horizontal="center" vertical="center"/>
    </xf>
    <xf numFmtId="0" fontId="8" fillId="3" borderId="19" xfId="0" applyFont="1" applyFill="1" applyBorder="1" applyAlignment="1">
      <alignment horizontal="center" vertical="center" wrapText="1"/>
    </xf>
    <xf numFmtId="0" fontId="8" fillId="3" borderId="2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 applyProtection="1">
      <alignment horizontal="center" vertical="center" wrapText="1"/>
      <protection locked="0"/>
    </xf>
    <xf numFmtId="0" fontId="0" fillId="0" borderId="62" xfId="0" applyBorder="1" applyAlignment="1" applyProtection="1">
      <alignment horizontal="center" vertical="center" wrapText="1"/>
      <protection locked="0"/>
    </xf>
    <xf numFmtId="0" fontId="3" fillId="0" borderId="46" xfId="0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 applyProtection="1">
      <alignment horizontal="center" vertical="center" wrapText="1"/>
      <protection locked="0"/>
    </xf>
    <xf numFmtId="0" fontId="0" fillId="0" borderId="61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3" fillId="0" borderId="37" xfId="0" applyFont="1" applyFill="1" applyBorder="1" applyAlignment="1" applyProtection="1">
      <alignment horizontal="center" vertical="center" wrapText="1"/>
      <protection locked="0"/>
    </xf>
    <xf numFmtId="0" fontId="3" fillId="0" borderId="54" xfId="0" applyFont="1" applyFill="1" applyBorder="1" applyAlignment="1" applyProtection="1">
      <alignment horizontal="center" vertical="center" wrapText="1"/>
      <protection locked="0"/>
    </xf>
    <xf numFmtId="0" fontId="3" fillId="0" borderId="47" xfId="0" applyFont="1" applyFill="1" applyBorder="1" applyAlignment="1" applyProtection="1">
      <alignment horizontal="center" vertical="center" wrapText="1"/>
      <protection locked="0"/>
    </xf>
    <xf numFmtId="0" fontId="3" fillId="0" borderId="61" xfId="0" applyFont="1" applyFill="1" applyBorder="1" applyAlignment="1" applyProtection="1">
      <alignment horizontal="center" vertical="center" wrapText="1"/>
      <protection locked="0"/>
    </xf>
    <xf numFmtId="0" fontId="3" fillId="0" borderId="58" xfId="0" applyFont="1" applyFill="1" applyBorder="1" applyAlignment="1" applyProtection="1">
      <alignment horizontal="center" vertical="center" wrapText="1"/>
      <protection locked="0"/>
    </xf>
    <xf numFmtId="0" fontId="6" fillId="19" borderId="71" xfId="0" applyFont="1" applyFill="1" applyBorder="1" applyAlignment="1">
      <alignment horizontal="center" vertical="center" wrapText="1"/>
    </xf>
    <xf numFmtId="0" fontId="6" fillId="19" borderId="33" xfId="0" applyFont="1" applyFill="1" applyBorder="1" applyAlignment="1">
      <alignment horizontal="center" vertical="center" wrapText="1"/>
    </xf>
    <xf numFmtId="0" fontId="6" fillId="19" borderId="57" xfId="0" applyFont="1" applyFill="1" applyBorder="1" applyAlignment="1">
      <alignment horizontal="center" vertical="center" wrapText="1"/>
    </xf>
    <xf numFmtId="0" fontId="6" fillId="19" borderId="63" xfId="0" applyFont="1" applyFill="1" applyBorder="1" applyAlignment="1">
      <alignment horizontal="center" vertical="center" wrapText="1"/>
    </xf>
    <xf numFmtId="0" fontId="6" fillId="19" borderId="69" xfId="0" applyFont="1" applyFill="1" applyBorder="1" applyAlignment="1">
      <alignment horizontal="center" vertical="center" wrapText="1"/>
    </xf>
    <xf numFmtId="0" fontId="6" fillId="19" borderId="66" xfId="0" applyFont="1" applyFill="1" applyBorder="1" applyAlignment="1">
      <alignment horizontal="center" vertical="center" wrapText="1"/>
    </xf>
    <xf numFmtId="0" fontId="6" fillId="19" borderId="53" xfId="0" applyFont="1" applyFill="1" applyBorder="1" applyAlignment="1">
      <alignment horizontal="center" vertical="center" wrapText="1"/>
    </xf>
    <xf numFmtId="0" fontId="6" fillId="19" borderId="34" xfId="0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9" fillId="0" borderId="4" xfId="1" applyFont="1" applyFill="1" applyBorder="1" applyAlignment="1">
      <alignment horizontal="center" vertical="center" wrapText="1"/>
    </xf>
    <xf numFmtId="0" fontId="9" fillId="0" borderId="5" xfId="1" applyFont="1" applyFill="1" applyBorder="1" applyAlignment="1">
      <alignment horizontal="center" vertical="center" wrapText="1"/>
    </xf>
    <xf numFmtId="0" fontId="9" fillId="0" borderId="3" xfId="1" applyFont="1" applyFill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/>
    </xf>
    <xf numFmtId="0" fontId="9" fillId="0" borderId="4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0" borderId="1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11" fillId="0" borderId="0" xfId="0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10" fillId="0" borderId="43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8" xfId="0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17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73" xfId="0" applyFont="1" applyBorder="1" applyAlignment="1">
      <alignment horizontal="center" vertical="center" wrapText="1"/>
    </xf>
  </cellXfs>
  <cellStyles count="3">
    <cellStyle name="Check Cell" xfId="1" builtinId="23"/>
    <cellStyle name="Normal" xfId="0" builtinId="0"/>
    <cellStyle name="Normal 2" xfId="2"/>
  </cellStyles>
  <dxfs count="4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FF9D9B"/>
      <color rgb="FFFF0000"/>
      <color rgb="FFFF3300"/>
      <color rgb="FF0033CC"/>
      <color rgb="FF8DB4E3"/>
      <color rgb="FFFFFF66"/>
      <color rgb="FFC5D9F1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36C6CFE3-E442-45AC-B22B-F9866AACB834}" type="presOf" srcId="{B1FE7251-DD78-43DC-9EFE-35E755B8C113}" destId="{3AF81862-CA10-46E9-B990-31ED7B1C337E}" srcOrd="3" destOrd="0" presId="urn:microsoft.com/office/officeart/2005/8/layout/gear1"/>
    <dgm:cxn modelId="{20CE3CB7-3C77-489F-BCA1-14308ABDBCBE}" type="presOf" srcId="{1C68C4BB-E0CE-4BD4-A250-6BB1313C8102}" destId="{92C8D4F5-79A2-46B4-ACB2-76BAF8E81BD2}" srcOrd="0" destOrd="0" presId="urn:microsoft.com/office/officeart/2005/8/layout/gear1"/>
    <dgm:cxn modelId="{AA76AD1D-50B8-47F9-8C93-3ACB39BB75F4}" type="presOf" srcId="{3346F7C9-2BEC-483F-AA76-59D108DC6B49}" destId="{B37849E0-CEA8-488F-91B6-DCD6996B663B}" srcOrd="0" destOrd="0" presId="urn:microsoft.com/office/officeart/2005/8/layout/gear1"/>
    <dgm:cxn modelId="{389FA3C1-619E-4A3F-89A4-F17BE5BB3ACF}" type="presOf" srcId="{90BC29A1-EAB1-4B07-BFBE-43D30ADE786F}" destId="{F866955C-FDD6-4476-A602-38378FC1FF65}" srcOrd="0" destOrd="0" presId="urn:microsoft.com/office/officeart/2005/8/layout/gear1"/>
    <dgm:cxn modelId="{0A6747C1-2E20-4B3F-A240-720AC11F7FDB}" type="presOf" srcId="{3D76B524-8A76-40C1-B814-E94C8DB75581}" destId="{044497E5-8C0A-41F1-B8EF-6EE2B96D3C1D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8A0886D6-F102-430B-B37E-51F4C2FBF9E6}" type="presOf" srcId="{B1FE7251-DD78-43DC-9EFE-35E755B8C113}" destId="{A98D2C77-AB2E-4734-BD72-0AAFCDCB3B38}" srcOrd="1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5F5B21D7-0F5C-4E39-A16F-9289284F7688}" type="presOf" srcId="{1C68C4BB-E0CE-4BD4-A250-6BB1313C8102}" destId="{6E4C15D3-C544-4998-AF52-23101F882761}" srcOrd="2" destOrd="0" presId="urn:microsoft.com/office/officeart/2005/8/layout/gear1"/>
    <dgm:cxn modelId="{3F89E831-3F3D-4FF1-B5A6-F5D87414E667}" type="presOf" srcId="{B1FE7251-DD78-43DC-9EFE-35E755B8C113}" destId="{B7A8C643-326B-470C-B29A-8CDB28E398D6}" srcOrd="2" destOrd="0" presId="urn:microsoft.com/office/officeart/2005/8/layout/gear1"/>
    <dgm:cxn modelId="{FE729064-272E-46AE-8C8D-4460C355B558}" type="presOf" srcId="{B1FE7251-DD78-43DC-9EFE-35E755B8C113}" destId="{76545084-0B49-479C-835B-7413B848C4E7}" srcOrd="0" destOrd="0" presId="urn:microsoft.com/office/officeart/2005/8/layout/gear1"/>
    <dgm:cxn modelId="{0529AFAB-6D5D-465B-954B-1493EAEFF352}" type="presOf" srcId="{EFC6E8EB-5017-42DF-B53D-6BC9750F37C4}" destId="{47172D9C-3CDF-4F63-B3B0-178F68183869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A9809C96-25FB-4C7F-9B07-45D63EC223BA}" type="presOf" srcId="{20027F76-6EF2-4DD8-BE41-A475A2100245}" destId="{D2147CE7-55B5-4289-95EA-E48035A21E7A}" srcOrd="0" destOrd="0" presId="urn:microsoft.com/office/officeart/2005/8/layout/gear1"/>
    <dgm:cxn modelId="{C81F8C03-8BB1-4043-9845-1F30CA38B0D9}" type="presOf" srcId="{3D76B524-8A76-40C1-B814-E94C8DB75581}" destId="{CCF3D23A-09EE-4067-A641-DD59D0533FC8}" srcOrd="0" destOrd="0" presId="urn:microsoft.com/office/officeart/2005/8/layout/gear1"/>
    <dgm:cxn modelId="{C65A5093-6B4A-4F52-88EE-2CDC65ECE0D8}" type="presOf" srcId="{1C68C4BB-E0CE-4BD4-A250-6BB1313C8102}" destId="{700D604D-9802-4F72-9388-062E057578B0}" srcOrd="1" destOrd="0" presId="urn:microsoft.com/office/officeart/2005/8/layout/gear1"/>
    <dgm:cxn modelId="{65C02DD8-4C57-4849-A680-599C55BBA5A0}" type="presOf" srcId="{3D76B524-8A76-40C1-B814-E94C8DB75581}" destId="{137BE4E3-5CDA-48F5-AF51-AD37FDB9CD12}" srcOrd="1" destOrd="0" presId="urn:microsoft.com/office/officeart/2005/8/layout/gear1"/>
    <dgm:cxn modelId="{F4A6C2EA-9D1E-4E54-A4C8-B7CD330A0465}" type="presParOf" srcId="{D2147CE7-55B5-4289-95EA-E48035A21E7A}" destId="{CCF3D23A-09EE-4067-A641-DD59D0533FC8}" srcOrd="0" destOrd="0" presId="urn:microsoft.com/office/officeart/2005/8/layout/gear1"/>
    <dgm:cxn modelId="{55860FCC-4A2C-4AC2-8844-F5DF00E1E235}" type="presParOf" srcId="{D2147CE7-55B5-4289-95EA-E48035A21E7A}" destId="{137BE4E3-5CDA-48F5-AF51-AD37FDB9CD12}" srcOrd="1" destOrd="0" presId="urn:microsoft.com/office/officeart/2005/8/layout/gear1"/>
    <dgm:cxn modelId="{9E9F348A-7455-4ACE-A12A-B58DAD15B55E}" type="presParOf" srcId="{D2147CE7-55B5-4289-95EA-E48035A21E7A}" destId="{044497E5-8C0A-41F1-B8EF-6EE2B96D3C1D}" srcOrd="2" destOrd="0" presId="urn:microsoft.com/office/officeart/2005/8/layout/gear1"/>
    <dgm:cxn modelId="{626EC50F-411C-4F40-8BA9-F5E23605A45A}" type="presParOf" srcId="{D2147CE7-55B5-4289-95EA-E48035A21E7A}" destId="{92C8D4F5-79A2-46B4-ACB2-76BAF8E81BD2}" srcOrd="3" destOrd="0" presId="urn:microsoft.com/office/officeart/2005/8/layout/gear1"/>
    <dgm:cxn modelId="{C20D279C-9152-4B63-9F61-F0973DF09738}" type="presParOf" srcId="{D2147CE7-55B5-4289-95EA-E48035A21E7A}" destId="{700D604D-9802-4F72-9388-062E057578B0}" srcOrd="4" destOrd="0" presId="urn:microsoft.com/office/officeart/2005/8/layout/gear1"/>
    <dgm:cxn modelId="{A9F676E7-3B18-4DA8-B61D-4CD1A904B27F}" type="presParOf" srcId="{D2147CE7-55B5-4289-95EA-E48035A21E7A}" destId="{6E4C15D3-C544-4998-AF52-23101F882761}" srcOrd="5" destOrd="0" presId="urn:microsoft.com/office/officeart/2005/8/layout/gear1"/>
    <dgm:cxn modelId="{AD272239-D35C-4884-BBB8-54D3B5528A9B}" type="presParOf" srcId="{D2147CE7-55B5-4289-95EA-E48035A21E7A}" destId="{76545084-0B49-479C-835B-7413B848C4E7}" srcOrd="6" destOrd="0" presId="urn:microsoft.com/office/officeart/2005/8/layout/gear1"/>
    <dgm:cxn modelId="{114DB3CB-EDA8-42A2-B399-393BA23F2470}" type="presParOf" srcId="{D2147CE7-55B5-4289-95EA-E48035A21E7A}" destId="{A98D2C77-AB2E-4734-BD72-0AAFCDCB3B38}" srcOrd="7" destOrd="0" presId="urn:microsoft.com/office/officeart/2005/8/layout/gear1"/>
    <dgm:cxn modelId="{18B2E8E1-606B-40CF-BE55-E9F3E17F2A20}" type="presParOf" srcId="{D2147CE7-55B5-4289-95EA-E48035A21E7A}" destId="{B7A8C643-326B-470C-B29A-8CDB28E398D6}" srcOrd="8" destOrd="0" presId="urn:microsoft.com/office/officeart/2005/8/layout/gear1"/>
    <dgm:cxn modelId="{8AB0303B-52D6-42F6-9BE9-180903ACB1D5}" type="presParOf" srcId="{D2147CE7-55B5-4289-95EA-E48035A21E7A}" destId="{3AF81862-CA10-46E9-B990-31ED7B1C337E}" srcOrd="9" destOrd="0" presId="urn:microsoft.com/office/officeart/2005/8/layout/gear1"/>
    <dgm:cxn modelId="{F04DC3D6-B263-448F-B7A8-1A1175BC3A0A}" type="presParOf" srcId="{D2147CE7-55B5-4289-95EA-E48035A21E7A}" destId="{B37849E0-CEA8-488F-91B6-DCD6996B663B}" srcOrd="10" destOrd="0" presId="urn:microsoft.com/office/officeart/2005/8/layout/gear1"/>
    <dgm:cxn modelId="{0BD3522C-F78E-4CD1-AF99-9A81286F4DAB}" type="presParOf" srcId="{D2147CE7-55B5-4289-95EA-E48035A21E7A}" destId="{F866955C-FDD6-4476-A602-38378FC1FF65}" srcOrd="11" destOrd="0" presId="urn:microsoft.com/office/officeart/2005/8/layout/gear1"/>
    <dgm:cxn modelId="{CD4158AB-7E07-47B8-83EF-44E6C199A451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C952316B-8225-4743-8D24-5FF6AF2D41FA}" type="presOf" srcId="{B1FE7251-DD78-43DC-9EFE-35E755B8C113}" destId="{B7A8C643-326B-470C-B29A-8CDB28E398D6}" srcOrd="2" destOrd="0" presId="urn:microsoft.com/office/officeart/2005/8/layout/gear1"/>
    <dgm:cxn modelId="{E548AFB6-D1D5-42D8-A8FE-C6F2DF71B3D4}" type="presOf" srcId="{3D76B524-8A76-40C1-B814-E94C8DB75581}" destId="{CCF3D23A-09EE-4067-A641-DD59D0533FC8}" srcOrd="0" destOrd="0" presId="urn:microsoft.com/office/officeart/2005/8/layout/gear1"/>
    <dgm:cxn modelId="{AB21643E-B28B-4DE5-90FF-C5691F442D7D}" type="presOf" srcId="{1C68C4BB-E0CE-4BD4-A250-6BB1313C8102}" destId="{6E4C15D3-C544-4998-AF52-23101F882761}" srcOrd="2" destOrd="0" presId="urn:microsoft.com/office/officeart/2005/8/layout/gear1"/>
    <dgm:cxn modelId="{9AE38DD0-3D5D-470C-A271-D7691EB5CC5A}" type="presOf" srcId="{EFC6E8EB-5017-42DF-B53D-6BC9750F37C4}" destId="{47172D9C-3CDF-4F63-B3B0-178F68183869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0C3DC571-A37E-4216-8FCA-7F2E4B87C832}" type="presOf" srcId="{1C68C4BB-E0CE-4BD4-A250-6BB1313C8102}" destId="{700D604D-9802-4F72-9388-062E057578B0}" srcOrd="1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C017ADD6-2476-4CB5-9FE2-A8F263BBDF12}" type="presOf" srcId="{3D76B524-8A76-40C1-B814-E94C8DB75581}" destId="{044497E5-8C0A-41F1-B8EF-6EE2B96D3C1D}" srcOrd="2" destOrd="0" presId="urn:microsoft.com/office/officeart/2005/8/layout/gear1"/>
    <dgm:cxn modelId="{17CBF5EA-D610-4C38-9E70-2592A7FF7CB3}" type="presOf" srcId="{1C68C4BB-E0CE-4BD4-A250-6BB1313C8102}" destId="{92C8D4F5-79A2-46B4-ACB2-76BAF8E81BD2}" srcOrd="0" destOrd="0" presId="urn:microsoft.com/office/officeart/2005/8/layout/gear1"/>
    <dgm:cxn modelId="{19C87F7C-F2C0-4E70-B7FF-95A449EDB404}" type="presOf" srcId="{3D76B524-8A76-40C1-B814-E94C8DB75581}" destId="{137BE4E3-5CDA-48F5-AF51-AD37FDB9CD12}" srcOrd="1" destOrd="0" presId="urn:microsoft.com/office/officeart/2005/8/layout/gear1"/>
    <dgm:cxn modelId="{34AC5EA2-0622-45F4-BAD8-E382BD871EAD}" type="presOf" srcId="{20027F76-6EF2-4DD8-BE41-A475A2100245}" destId="{D2147CE7-55B5-4289-95EA-E48035A21E7A}" srcOrd="0" destOrd="0" presId="urn:microsoft.com/office/officeart/2005/8/layout/gear1"/>
    <dgm:cxn modelId="{35237C63-FF93-41C6-BF5B-B358FE2BFA13}" type="presOf" srcId="{B1FE7251-DD78-43DC-9EFE-35E755B8C113}" destId="{3AF81862-CA10-46E9-B990-31ED7B1C337E}" srcOrd="3" destOrd="0" presId="urn:microsoft.com/office/officeart/2005/8/layout/gear1"/>
    <dgm:cxn modelId="{4D1A8403-F4E6-47D6-A55F-BAD324A1CDB2}" type="presOf" srcId="{B1FE7251-DD78-43DC-9EFE-35E755B8C113}" destId="{A98D2C77-AB2E-4734-BD72-0AAFCDCB3B38}" srcOrd="1" destOrd="0" presId="urn:microsoft.com/office/officeart/2005/8/layout/gear1"/>
    <dgm:cxn modelId="{751EB35E-FFF7-499D-A6D6-7B27F018881B}" type="presOf" srcId="{B1FE7251-DD78-43DC-9EFE-35E755B8C113}" destId="{76545084-0B49-479C-835B-7413B848C4E7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986B5FB7-D0A2-4F4F-A440-0A9E5D765BB8}" type="presOf" srcId="{90BC29A1-EAB1-4B07-BFBE-43D30ADE786F}" destId="{F866955C-FDD6-4476-A602-38378FC1FF65}" srcOrd="0" destOrd="0" presId="urn:microsoft.com/office/officeart/2005/8/layout/gear1"/>
    <dgm:cxn modelId="{8A20AC2C-D6DA-4037-8174-780F8B205EF4}" type="presOf" srcId="{3346F7C9-2BEC-483F-AA76-59D108DC6B49}" destId="{B37849E0-CEA8-488F-91B6-DCD6996B663B}" srcOrd="0" destOrd="0" presId="urn:microsoft.com/office/officeart/2005/8/layout/gear1"/>
    <dgm:cxn modelId="{0F5596E1-1E67-49F1-8770-0C86A733AE4F}" type="presParOf" srcId="{D2147CE7-55B5-4289-95EA-E48035A21E7A}" destId="{CCF3D23A-09EE-4067-A641-DD59D0533FC8}" srcOrd="0" destOrd="0" presId="urn:microsoft.com/office/officeart/2005/8/layout/gear1"/>
    <dgm:cxn modelId="{02ADB5B9-0D02-4464-9689-DA2F69CE66AE}" type="presParOf" srcId="{D2147CE7-55B5-4289-95EA-E48035A21E7A}" destId="{137BE4E3-5CDA-48F5-AF51-AD37FDB9CD12}" srcOrd="1" destOrd="0" presId="urn:microsoft.com/office/officeart/2005/8/layout/gear1"/>
    <dgm:cxn modelId="{3328F433-0BBD-48C6-915F-CF7FF982FB9A}" type="presParOf" srcId="{D2147CE7-55B5-4289-95EA-E48035A21E7A}" destId="{044497E5-8C0A-41F1-B8EF-6EE2B96D3C1D}" srcOrd="2" destOrd="0" presId="urn:microsoft.com/office/officeart/2005/8/layout/gear1"/>
    <dgm:cxn modelId="{741FB677-D697-468B-9DEB-D30E205A266D}" type="presParOf" srcId="{D2147CE7-55B5-4289-95EA-E48035A21E7A}" destId="{92C8D4F5-79A2-46B4-ACB2-76BAF8E81BD2}" srcOrd="3" destOrd="0" presId="urn:microsoft.com/office/officeart/2005/8/layout/gear1"/>
    <dgm:cxn modelId="{DE3904D7-6715-453A-B8C3-AB88063563B2}" type="presParOf" srcId="{D2147CE7-55B5-4289-95EA-E48035A21E7A}" destId="{700D604D-9802-4F72-9388-062E057578B0}" srcOrd="4" destOrd="0" presId="urn:microsoft.com/office/officeart/2005/8/layout/gear1"/>
    <dgm:cxn modelId="{CF1191D0-5DF0-4A49-BD26-FE45A8705734}" type="presParOf" srcId="{D2147CE7-55B5-4289-95EA-E48035A21E7A}" destId="{6E4C15D3-C544-4998-AF52-23101F882761}" srcOrd="5" destOrd="0" presId="urn:microsoft.com/office/officeart/2005/8/layout/gear1"/>
    <dgm:cxn modelId="{39A89F86-D2C7-4263-9EE5-AEAAD549307F}" type="presParOf" srcId="{D2147CE7-55B5-4289-95EA-E48035A21E7A}" destId="{76545084-0B49-479C-835B-7413B848C4E7}" srcOrd="6" destOrd="0" presId="urn:microsoft.com/office/officeart/2005/8/layout/gear1"/>
    <dgm:cxn modelId="{692D27D6-8493-4B68-9000-D7156B4BDFA9}" type="presParOf" srcId="{D2147CE7-55B5-4289-95EA-E48035A21E7A}" destId="{A98D2C77-AB2E-4734-BD72-0AAFCDCB3B38}" srcOrd="7" destOrd="0" presId="urn:microsoft.com/office/officeart/2005/8/layout/gear1"/>
    <dgm:cxn modelId="{8EA85622-80FA-4217-85D1-52795208E1C4}" type="presParOf" srcId="{D2147CE7-55B5-4289-95EA-E48035A21E7A}" destId="{B7A8C643-326B-470C-B29A-8CDB28E398D6}" srcOrd="8" destOrd="0" presId="urn:microsoft.com/office/officeart/2005/8/layout/gear1"/>
    <dgm:cxn modelId="{C0CACF4C-0E6E-4016-909D-089FB8D59C8B}" type="presParOf" srcId="{D2147CE7-55B5-4289-95EA-E48035A21E7A}" destId="{3AF81862-CA10-46E9-B990-31ED7B1C337E}" srcOrd="9" destOrd="0" presId="urn:microsoft.com/office/officeart/2005/8/layout/gear1"/>
    <dgm:cxn modelId="{E9DBB7E4-6E20-46DB-AF9B-B5ADE35B2AC6}" type="presParOf" srcId="{D2147CE7-55B5-4289-95EA-E48035A21E7A}" destId="{B37849E0-CEA8-488F-91B6-DCD6996B663B}" srcOrd="10" destOrd="0" presId="urn:microsoft.com/office/officeart/2005/8/layout/gear1"/>
    <dgm:cxn modelId="{2DD11588-E1E3-446C-9412-CB99FCE8FFA7}" type="presParOf" srcId="{D2147CE7-55B5-4289-95EA-E48035A21E7A}" destId="{F866955C-FDD6-4476-A602-38378FC1FF65}" srcOrd="11" destOrd="0" presId="urn:microsoft.com/office/officeart/2005/8/layout/gear1"/>
    <dgm:cxn modelId="{6FD045F7-2EB2-40D1-9ED0-509CC8CD191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6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B2F42A84-BB69-4403-A825-5B12F09DAB92}" type="presOf" srcId="{B1FE7251-DD78-43DC-9EFE-35E755B8C113}" destId="{A98D2C77-AB2E-4734-BD72-0AAFCDCB3B38}" srcOrd="1" destOrd="0" presId="urn:microsoft.com/office/officeart/2005/8/layout/gear1"/>
    <dgm:cxn modelId="{D1AB8556-96A5-4558-AC70-AD02A4EDEFA4}" type="presOf" srcId="{B1FE7251-DD78-43DC-9EFE-35E755B8C113}" destId="{76545084-0B49-479C-835B-7413B848C4E7}" srcOrd="0" destOrd="0" presId="urn:microsoft.com/office/officeart/2005/8/layout/gear1"/>
    <dgm:cxn modelId="{A63148B2-8D14-4BDB-AA25-B548EDB9A741}" type="presOf" srcId="{EFC6E8EB-5017-42DF-B53D-6BC9750F37C4}" destId="{47172D9C-3CDF-4F63-B3B0-178F68183869}" srcOrd="0" destOrd="0" presId="urn:microsoft.com/office/officeart/2005/8/layout/gear1"/>
    <dgm:cxn modelId="{072E520C-18AD-4A78-A999-A9ED99F39D92}" type="presOf" srcId="{1C68C4BB-E0CE-4BD4-A250-6BB1313C8102}" destId="{6E4C15D3-C544-4998-AF52-23101F882761}" srcOrd="2" destOrd="0" presId="urn:microsoft.com/office/officeart/2005/8/layout/gear1"/>
    <dgm:cxn modelId="{1D657BBB-E9B9-45F1-B35A-2CF9580157C0}" type="presOf" srcId="{3346F7C9-2BEC-483F-AA76-59D108DC6B49}" destId="{B37849E0-CEA8-488F-91B6-DCD6996B663B}" srcOrd="0" destOrd="0" presId="urn:microsoft.com/office/officeart/2005/8/layout/gear1"/>
    <dgm:cxn modelId="{7D2099D1-C022-4A28-949D-8FB65DE0570B}" type="presOf" srcId="{3D76B524-8A76-40C1-B814-E94C8DB75581}" destId="{137BE4E3-5CDA-48F5-AF51-AD37FDB9CD12}" srcOrd="1" destOrd="0" presId="urn:microsoft.com/office/officeart/2005/8/layout/gear1"/>
    <dgm:cxn modelId="{E98E5A2B-F70A-4588-9E5D-9D133A542CA6}" type="presOf" srcId="{B1FE7251-DD78-43DC-9EFE-35E755B8C113}" destId="{3AF81862-CA10-46E9-B990-31ED7B1C337E}" srcOrd="3" destOrd="0" presId="urn:microsoft.com/office/officeart/2005/8/layout/gear1"/>
    <dgm:cxn modelId="{496BDB39-5E81-4118-B123-FA536F446A5E}" type="presOf" srcId="{20027F76-6EF2-4DD8-BE41-A475A2100245}" destId="{D2147CE7-55B5-4289-95EA-E48035A21E7A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C1A7D0F6-C2EF-4F59-B92F-259B73AE4008}" type="presOf" srcId="{B1FE7251-DD78-43DC-9EFE-35E755B8C113}" destId="{B7A8C643-326B-470C-B29A-8CDB28E398D6}" srcOrd="2" destOrd="0" presId="urn:microsoft.com/office/officeart/2005/8/layout/gear1"/>
    <dgm:cxn modelId="{CC455147-1CCB-4B88-AC55-80F838D7457E}" type="presOf" srcId="{1C68C4BB-E0CE-4BD4-A250-6BB1313C8102}" destId="{700D604D-9802-4F72-9388-062E057578B0}" srcOrd="1" destOrd="0" presId="urn:microsoft.com/office/officeart/2005/8/layout/gear1"/>
    <dgm:cxn modelId="{16D44FED-1950-4920-9B14-C4687C903447}" type="presOf" srcId="{3D76B524-8A76-40C1-B814-E94C8DB75581}" destId="{044497E5-8C0A-41F1-B8EF-6EE2B96D3C1D}" srcOrd="2" destOrd="0" presId="urn:microsoft.com/office/officeart/2005/8/layout/gear1"/>
    <dgm:cxn modelId="{A0F33426-9BF8-44C3-BD10-E6FCC384D2EF}" type="presOf" srcId="{3D76B524-8A76-40C1-B814-E94C8DB75581}" destId="{CCF3D23A-09EE-4067-A641-DD59D0533FC8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99D2B387-6CB0-467A-8D11-F18B017215A3}" type="presOf" srcId="{90BC29A1-EAB1-4B07-BFBE-43D30ADE786F}" destId="{F866955C-FDD6-4476-A602-38378FC1FF65}" srcOrd="0" destOrd="0" presId="urn:microsoft.com/office/officeart/2005/8/layout/gear1"/>
    <dgm:cxn modelId="{3066CA2D-32AB-418F-8838-5AD06A2C4310}" type="presOf" srcId="{1C68C4BB-E0CE-4BD4-A250-6BB1313C8102}" destId="{92C8D4F5-79A2-46B4-ACB2-76BAF8E81BD2}" srcOrd="0" destOrd="0" presId="urn:microsoft.com/office/officeart/2005/8/layout/gear1"/>
    <dgm:cxn modelId="{124BCA5A-7BD3-42AF-A03B-BDC155FAABA4}" type="presParOf" srcId="{D2147CE7-55B5-4289-95EA-E48035A21E7A}" destId="{CCF3D23A-09EE-4067-A641-DD59D0533FC8}" srcOrd="0" destOrd="0" presId="urn:microsoft.com/office/officeart/2005/8/layout/gear1"/>
    <dgm:cxn modelId="{5A1F8382-91C1-4A86-94B9-6A94274F13F8}" type="presParOf" srcId="{D2147CE7-55B5-4289-95EA-E48035A21E7A}" destId="{137BE4E3-5CDA-48F5-AF51-AD37FDB9CD12}" srcOrd="1" destOrd="0" presId="urn:microsoft.com/office/officeart/2005/8/layout/gear1"/>
    <dgm:cxn modelId="{F8B70F80-9BB2-45C6-A3BC-945DFD96E768}" type="presParOf" srcId="{D2147CE7-55B5-4289-95EA-E48035A21E7A}" destId="{044497E5-8C0A-41F1-B8EF-6EE2B96D3C1D}" srcOrd="2" destOrd="0" presId="urn:microsoft.com/office/officeart/2005/8/layout/gear1"/>
    <dgm:cxn modelId="{87FDA14A-8080-4F3A-A11D-C3DFCEFEC6A0}" type="presParOf" srcId="{D2147CE7-55B5-4289-95EA-E48035A21E7A}" destId="{92C8D4F5-79A2-46B4-ACB2-76BAF8E81BD2}" srcOrd="3" destOrd="0" presId="urn:microsoft.com/office/officeart/2005/8/layout/gear1"/>
    <dgm:cxn modelId="{295F209A-84C4-4A45-9CC1-B42B4DD8E5FC}" type="presParOf" srcId="{D2147CE7-55B5-4289-95EA-E48035A21E7A}" destId="{700D604D-9802-4F72-9388-062E057578B0}" srcOrd="4" destOrd="0" presId="urn:microsoft.com/office/officeart/2005/8/layout/gear1"/>
    <dgm:cxn modelId="{297D5933-67D1-4E49-B5F9-042ADD16FC7D}" type="presParOf" srcId="{D2147CE7-55B5-4289-95EA-E48035A21E7A}" destId="{6E4C15D3-C544-4998-AF52-23101F882761}" srcOrd="5" destOrd="0" presId="urn:microsoft.com/office/officeart/2005/8/layout/gear1"/>
    <dgm:cxn modelId="{65EFF7AF-80D7-4511-8E05-133C8F9929EF}" type="presParOf" srcId="{D2147CE7-55B5-4289-95EA-E48035A21E7A}" destId="{76545084-0B49-479C-835B-7413B848C4E7}" srcOrd="6" destOrd="0" presId="urn:microsoft.com/office/officeart/2005/8/layout/gear1"/>
    <dgm:cxn modelId="{A3D5883D-E72A-4F85-94B9-82A971C49D16}" type="presParOf" srcId="{D2147CE7-55B5-4289-95EA-E48035A21E7A}" destId="{A98D2C77-AB2E-4734-BD72-0AAFCDCB3B38}" srcOrd="7" destOrd="0" presId="urn:microsoft.com/office/officeart/2005/8/layout/gear1"/>
    <dgm:cxn modelId="{E70847B4-3D28-4F64-B470-F6F2D84F97AD}" type="presParOf" srcId="{D2147CE7-55B5-4289-95EA-E48035A21E7A}" destId="{B7A8C643-326B-470C-B29A-8CDB28E398D6}" srcOrd="8" destOrd="0" presId="urn:microsoft.com/office/officeart/2005/8/layout/gear1"/>
    <dgm:cxn modelId="{26BBEF7F-DA5D-429C-8BA9-7AC4AE0D12FE}" type="presParOf" srcId="{D2147CE7-55B5-4289-95EA-E48035A21E7A}" destId="{3AF81862-CA10-46E9-B990-31ED7B1C337E}" srcOrd="9" destOrd="0" presId="urn:microsoft.com/office/officeart/2005/8/layout/gear1"/>
    <dgm:cxn modelId="{B69BE8E1-A59C-4EB7-8376-2B39AC261801}" type="presParOf" srcId="{D2147CE7-55B5-4289-95EA-E48035A21E7A}" destId="{B37849E0-CEA8-488F-91B6-DCD6996B663B}" srcOrd="10" destOrd="0" presId="urn:microsoft.com/office/officeart/2005/8/layout/gear1"/>
    <dgm:cxn modelId="{C2C28A79-EB6F-42D3-9734-AECCD7F78925}" type="presParOf" srcId="{D2147CE7-55B5-4289-95EA-E48035A21E7A}" destId="{F866955C-FDD6-4476-A602-38378FC1FF65}" srcOrd="11" destOrd="0" presId="urn:microsoft.com/office/officeart/2005/8/layout/gear1"/>
    <dgm:cxn modelId="{BA1CA7BF-B437-4E48-A6F2-18B859162DF4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1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31BBF503-1526-4836-BDEF-AFF849B8B486}" type="presOf" srcId="{B1FE7251-DD78-43DC-9EFE-35E755B8C113}" destId="{76545084-0B49-479C-835B-7413B848C4E7}" srcOrd="0" destOrd="0" presId="urn:microsoft.com/office/officeart/2005/8/layout/gear1"/>
    <dgm:cxn modelId="{8A3B66E4-AD5F-43C0-B29F-5DADCA3545D0}" type="presOf" srcId="{EFC6E8EB-5017-42DF-B53D-6BC9750F37C4}" destId="{47172D9C-3CDF-4F63-B3B0-178F68183869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095B4F42-EC54-41F2-8CBE-A22F872C015C}" type="presOf" srcId="{B1FE7251-DD78-43DC-9EFE-35E755B8C113}" destId="{3AF81862-CA10-46E9-B990-31ED7B1C337E}" srcOrd="3" destOrd="0" presId="urn:microsoft.com/office/officeart/2005/8/layout/gear1"/>
    <dgm:cxn modelId="{FBF3A874-50ED-4727-83BB-7BE570DFD462}" type="presOf" srcId="{3D76B524-8A76-40C1-B814-E94C8DB75581}" destId="{137BE4E3-5CDA-48F5-AF51-AD37FDB9CD12}" srcOrd="1" destOrd="0" presId="urn:microsoft.com/office/officeart/2005/8/layout/gear1"/>
    <dgm:cxn modelId="{1B7463A0-6530-447E-AD70-80CFF37C9358}" type="presOf" srcId="{B1FE7251-DD78-43DC-9EFE-35E755B8C113}" destId="{A98D2C77-AB2E-4734-BD72-0AAFCDCB3B38}" srcOrd="1" destOrd="0" presId="urn:microsoft.com/office/officeart/2005/8/layout/gear1"/>
    <dgm:cxn modelId="{6BB306EC-DBAE-4406-AEB3-C38DE2D86807}" type="presOf" srcId="{1C68C4BB-E0CE-4BD4-A250-6BB1313C8102}" destId="{6E4C15D3-C544-4998-AF52-23101F882761}" srcOrd="2" destOrd="0" presId="urn:microsoft.com/office/officeart/2005/8/layout/gear1"/>
    <dgm:cxn modelId="{C15F9FC5-C35F-4F8E-8EFE-5B6A2F7A7EE3}" type="presOf" srcId="{3346F7C9-2BEC-483F-AA76-59D108DC6B49}" destId="{B37849E0-CEA8-488F-91B6-DCD6996B663B}" srcOrd="0" destOrd="0" presId="urn:microsoft.com/office/officeart/2005/8/layout/gear1"/>
    <dgm:cxn modelId="{63AB6AFC-BF2E-4170-83EE-45143A744969}" type="presOf" srcId="{1C68C4BB-E0CE-4BD4-A250-6BB1313C8102}" destId="{700D604D-9802-4F72-9388-062E057578B0}" srcOrd="1" destOrd="0" presId="urn:microsoft.com/office/officeart/2005/8/layout/gear1"/>
    <dgm:cxn modelId="{B004484A-72EB-4E35-9751-AC174F77CF36}" type="presOf" srcId="{20027F76-6EF2-4DD8-BE41-A475A2100245}" destId="{D2147CE7-55B5-4289-95EA-E48035A21E7A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CAFC3752-3384-44BD-8DCE-0401AF366AD9}" type="presOf" srcId="{3D76B524-8A76-40C1-B814-E94C8DB75581}" destId="{CCF3D23A-09EE-4067-A641-DD59D0533FC8}" srcOrd="0" destOrd="0" presId="urn:microsoft.com/office/officeart/2005/8/layout/gear1"/>
    <dgm:cxn modelId="{E0DF90B8-E534-466C-B852-77ADB370E396}" type="presOf" srcId="{90BC29A1-EAB1-4B07-BFBE-43D30ADE786F}" destId="{F866955C-FDD6-4476-A602-38378FC1FF65}" srcOrd="0" destOrd="0" presId="urn:microsoft.com/office/officeart/2005/8/layout/gear1"/>
    <dgm:cxn modelId="{14204065-A273-4BDB-BD0F-8F0E7CA38F8F}" type="presOf" srcId="{1C68C4BB-E0CE-4BD4-A250-6BB1313C8102}" destId="{92C8D4F5-79A2-46B4-ACB2-76BAF8E81BD2}" srcOrd="0" destOrd="0" presId="urn:microsoft.com/office/officeart/2005/8/layout/gear1"/>
    <dgm:cxn modelId="{4C79C5D1-51C2-470F-A128-810AC3BC22AF}" type="presOf" srcId="{B1FE7251-DD78-43DC-9EFE-35E755B8C113}" destId="{B7A8C643-326B-470C-B29A-8CDB28E398D6}" srcOrd="2" destOrd="0" presId="urn:microsoft.com/office/officeart/2005/8/layout/gear1"/>
    <dgm:cxn modelId="{2132BFBA-1739-485E-8381-40B1B46D9427}" type="presOf" srcId="{3D76B524-8A76-40C1-B814-E94C8DB75581}" destId="{044497E5-8C0A-41F1-B8EF-6EE2B96D3C1D}" srcOrd="2" destOrd="0" presId="urn:microsoft.com/office/officeart/2005/8/layout/gear1"/>
    <dgm:cxn modelId="{F91C3F43-BD29-41FA-8D66-B6F50FAA993A}" type="presParOf" srcId="{D2147CE7-55B5-4289-95EA-E48035A21E7A}" destId="{CCF3D23A-09EE-4067-A641-DD59D0533FC8}" srcOrd="0" destOrd="0" presId="urn:microsoft.com/office/officeart/2005/8/layout/gear1"/>
    <dgm:cxn modelId="{3DA1E292-3CFA-4A7C-8DE3-D92D2601B5E2}" type="presParOf" srcId="{D2147CE7-55B5-4289-95EA-E48035A21E7A}" destId="{137BE4E3-5CDA-48F5-AF51-AD37FDB9CD12}" srcOrd="1" destOrd="0" presId="urn:microsoft.com/office/officeart/2005/8/layout/gear1"/>
    <dgm:cxn modelId="{96CCACA5-7843-44F7-B696-8B5262619D20}" type="presParOf" srcId="{D2147CE7-55B5-4289-95EA-E48035A21E7A}" destId="{044497E5-8C0A-41F1-B8EF-6EE2B96D3C1D}" srcOrd="2" destOrd="0" presId="urn:microsoft.com/office/officeart/2005/8/layout/gear1"/>
    <dgm:cxn modelId="{C2FFD23C-9857-452B-8E97-21A6DD94129E}" type="presParOf" srcId="{D2147CE7-55B5-4289-95EA-E48035A21E7A}" destId="{92C8D4F5-79A2-46B4-ACB2-76BAF8E81BD2}" srcOrd="3" destOrd="0" presId="urn:microsoft.com/office/officeart/2005/8/layout/gear1"/>
    <dgm:cxn modelId="{3612D925-E00C-48E9-A59C-ED4C42B3182D}" type="presParOf" srcId="{D2147CE7-55B5-4289-95EA-E48035A21E7A}" destId="{700D604D-9802-4F72-9388-062E057578B0}" srcOrd="4" destOrd="0" presId="urn:microsoft.com/office/officeart/2005/8/layout/gear1"/>
    <dgm:cxn modelId="{6E5B2C29-14E5-41FB-BC35-199536A459E0}" type="presParOf" srcId="{D2147CE7-55B5-4289-95EA-E48035A21E7A}" destId="{6E4C15D3-C544-4998-AF52-23101F882761}" srcOrd="5" destOrd="0" presId="urn:microsoft.com/office/officeart/2005/8/layout/gear1"/>
    <dgm:cxn modelId="{71849FD7-D5B2-4B38-A461-BC9872773E12}" type="presParOf" srcId="{D2147CE7-55B5-4289-95EA-E48035A21E7A}" destId="{76545084-0B49-479C-835B-7413B848C4E7}" srcOrd="6" destOrd="0" presId="urn:microsoft.com/office/officeart/2005/8/layout/gear1"/>
    <dgm:cxn modelId="{52370374-50E0-4EA7-832E-AC498EDE7613}" type="presParOf" srcId="{D2147CE7-55B5-4289-95EA-E48035A21E7A}" destId="{A98D2C77-AB2E-4734-BD72-0AAFCDCB3B38}" srcOrd="7" destOrd="0" presId="urn:microsoft.com/office/officeart/2005/8/layout/gear1"/>
    <dgm:cxn modelId="{18877178-5C86-4980-9EBC-198F77C75EDD}" type="presParOf" srcId="{D2147CE7-55B5-4289-95EA-E48035A21E7A}" destId="{B7A8C643-326B-470C-B29A-8CDB28E398D6}" srcOrd="8" destOrd="0" presId="urn:microsoft.com/office/officeart/2005/8/layout/gear1"/>
    <dgm:cxn modelId="{E9483785-CB51-4C55-86CE-B8504F2E4F89}" type="presParOf" srcId="{D2147CE7-55B5-4289-95EA-E48035A21E7A}" destId="{3AF81862-CA10-46E9-B990-31ED7B1C337E}" srcOrd="9" destOrd="0" presId="urn:microsoft.com/office/officeart/2005/8/layout/gear1"/>
    <dgm:cxn modelId="{24741D88-DD2D-42F8-ACE1-7DCF392E7907}" type="presParOf" srcId="{D2147CE7-55B5-4289-95EA-E48035A21E7A}" destId="{B37849E0-CEA8-488F-91B6-DCD6996B663B}" srcOrd="10" destOrd="0" presId="urn:microsoft.com/office/officeart/2005/8/layout/gear1"/>
    <dgm:cxn modelId="{85B2F76C-1DD9-4D0A-AE69-4319A6E8D4C7}" type="presParOf" srcId="{D2147CE7-55B5-4289-95EA-E48035A21E7A}" destId="{F866955C-FDD6-4476-A602-38378FC1FF65}" srcOrd="11" destOrd="0" presId="urn:microsoft.com/office/officeart/2005/8/layout/gear1"/>
    <dgm:cxn modelId="{238A95DB-08B6-48BF-9445-79511E030429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6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061567B5-1707-48C8-9E4B-2AA7483376BC}" type="presOf" srcId="{3346F7C9-2BEC-483F-AA76-59D108DC6B49}" destId="{B37849E0-CEA8-488F-91B6-DCD6996B663B}" srcOrd="0" destOrd="0" presId="urn:microsoft.com/office/officeart/2005/8/layout/gear1"/>
    <dgm:cxn modelId="{AC668B87-9FAB-49F7-AC75-4F5E8399A5B3}" type="presOf" srcId="{B1FE7251-DD78-43DC-9EFE-35E755B8C113}" destId="{76545084-0B49-479C-835B-7413B848C4E7}" srcOrd="0" destOrd="0" presId="urn:microsoft.com/office/officeart/2005/8/layout/gear1"/>
    <dgm:cxn modelId="{27C4242D-75AC-4551-9600-599C554BDDE7}" type="presOf" srcId="{90BC29A1-EAB1-4B07-BFBE-43D30ADE786F}" destId="{F866955C-FDD6-4476-A602-38378FC1FF65}" srcOrd="0" destOrd="0" presId="urn:microsoft.com/office/officeart/2005/8/layout/gear1"/>
    <dgm:cxn modelId="{7DB7CAC6-E64C-4CC1-930B-95442EE0B725}" type="presOf" srcId="{1C68C4BB-E0CE-4BD4-A250-6BB1313C8102}" destId="{6E4C15D3-C544-4998-AF52-23101F882761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1B6281F-A855-487B-862D-9A234BB21124}" type="presOf" srcId="{20027F76-6EF2-4DD8-BE41-A475A2100245}" destId="{D2147CE7-55B5-4289-95EA-E48035A21E7A}" srcOrd="0" destOrd="0" presId="urn:microsoft.com/office/officeart/2005/8/layout/gear1"/>
    <dgm:cxn modelId="{3C5BA383-3709-4978-A374-DB3978468418}" type="presOf" srcId="{3D76B524-8A76-40C1-B814-E94C8DB75581}" destId="{CCF3D23A-09EE-4067-A641-DD59D0533FC8}" srcOrd="0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32C5C469-38AC-41C3-923E-08DE4A0E70B7}" type="presOf" srcId="{EFC6E8EB-5017-42DF-B53D-6BC9750F37C4}" destId="{47172D9C-3CDF-4F63-B3B0-178F68183869}" srcOrd="0" destOrd="0" presId="urn:microsoft.com/office/officeart/2005/8/layout/gear1"/>
    <dgm:cxn modelId="{FD2ED169-DC30-42BD-84E1-283F6446A3D3}" type="presOf" srcId="{B1FE7251-DD78-43DC-9EFE-35E755B8C113}" destId="{B7A8C643-326B-470C-B29A-8CDB28E398D6}" srcOrd="2" destOrd="0" presId="urn:microsoft.com/office/officeart/2005/8/layout/gear1"/>
    <dgm:cxn modelId="{734E95F7-8F12-467A-8C63-003DE7FCEC14}" type="presOf" srcId="{B1FE7251-DD78-43DC-9EFE-35E755B8C113}" destId="{3AF81862-CA10-46E9-B990-31ED7B1C337E}" srcOrd="3" destOrd="0" presId="urn:microsoft.com/office/officeart/2005/8/layout/gear1"/>
    <dgm:cxn modelId="{BCA9C3DF-1872-437A-9DC1-33D605F5A662}" type="presOf" srcId="{1C68C4BB-E0CE-4BD4-A250-6BB1313C8102}" destId="{700D604D-9802-4F72-9388-062E057578B0}" srcOrd="1" destOrd="0" presId="urn:microsoft.com/office/officeart/2005/8/layout/gear1"/>
    <dgm:cxn modelId="{85C25054-D997-4EFA-BFD5-F912AE314C66}" type="presOf" srcId="{3D76B524-8A76-40C1-B814-E94C8DB75581}" destId="{044497E5-8C0A-41F1-B8EF-6EE2B96D3C1D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28B7B59A-5162-438A-BE9E-FC60593A3BE8}" type="presOf" srcId="{3D76B524-8A76-40C1-B814-E94C8DB75581}" destId="{137BE4E3-5CDA-48F5-AF51-AD37FDB9CD12}" srcOrd="1" destOrd="0" presId="urn:microsoft.com/office/officeart/2005/8/layout/gear1"/>
    <dgm:cxn modelId="{4EB5FACF-AB91-4080-B9E1-657944FC9980}" type="presOf" srcId="{1C68C4BB-E0CE-4BD4-A250-6BB1313C8102}" destId="{92C8D4F5-79A2-46B4-ACB2-76BAF8E81BD2}" srcOrd="0" destOrd="0" presId="urn:microsoft.com/office/officeart/2005/8/layout/gear1"/>
    <dgm:cxn modelId="{23431571-7F1F-49E6-BD18-28A7473AF88D}" type="presOf" srcId="{B1FE7251-DD78-43DC-9EFE-35E755B8C113}" destId="{A98D2C77-AB2E-4734-BD72-0AAFCDCB3B38}" srcOrd="1" destOrd="0" presId="urn:microsoft.com/office/officeart/2005/8/layout/gear1"/>
    <dgm:cxn modelId="{1C048B41-7B71-4AF0-B65B-8BBEAE82AEC1}" type="presParOf" srcId="{D2147CE7-55B5-4289-95EA-E48035A21E7A}" destId="{CCF3D23A-09EE-4067-A641-DD59D0533FC8}" srcOrd="0" destOrd="0" presId="urn:microsoft.com/office/officeart/2005/8/layout/gear1"/>
    <dgm:cxn modelId="{DC4F271F-E040-4D52-907B-7018AEDE838F}" type="presParOf" srcId="{D2147CE7-55B5-4289-95EA-E48035A21E7A}" destId="{137BE4E3-5CDA-48F5-AF51-AD37FDB9CD12}" srcOrd="1" destOrd="0" presId="urn:microsoft.com/office/officeart/2005/8/layout/gear1"/>
    <dgm:cxn modelId="{0114B829-9E00-49B8-ADE5-170E410D2700}" type="presParOf" srcId="{D2147CE7-55B5-4289-95EA-E48035A21E7A}" destId="{044497E5-8C0A-41F1-B8EF-6EE2B96D3C1D}" srcOrd="2" destOrd="0" presId="urn:microsoft.com/office/officeart/2005/8/layout/gear1"/>
    <dgm:cxn modelId="{9E9E594B-186B-442F-A84F-69843C104D96}" type="presParOf" srcId="{D2147CE7-55B5-4289-95EA-E48035A21E7A}" destId="{92C8D4F5-79A2-46B4-ACB2-76BAF8E81BD2}" srcOrd="3" destOrd="0" presId="urn:microsoft.com/office/officeart/2005/8/layout/gear1"/>
    <dgm:cxn modelId="{B067F436-5E75-46CC-867E-FD47DB909282}" type="presParOf" srcId="{D2147CE7-55B5-4289-95EA-E48035A21E7A}" destId="{700D604D-9802-4F72-9388-062E057578B0}" srcOrd="4" destOrd="0" presId="urn:microsoft.com/office/officeart/2005/8/layout/gear1"/>
    <dgm:cxn modelId="{C5E31C3B-E059-4A4C-A9BA-FD9FBDF18A95}" type="presParOf" srcId="{D2147CE7-55B5-4289-95EA-E48035A21E7A}" destId="{6E4C15D3-C544-4998-AF52-23101F882761}" srcOrd="5" destOrd="0" presId="urn:microsoft.com/office/officeart/2005/8/layout/gear1"/>
    <dgm:cxn modelId="{A8A86E64-52DD-4F91-9DBB-680C6ED190DE}" type="presParOf" srcId="{D2147CE7-55B5-4289-95EA-E48035A21E7A}" destId="{76545084-0B49-479C-835B-7413B848C4E7}" srcOrd="6" destOrd="0" presId="urn:microsoft.com/office/officeart/2005/8/layout/gear1"/>
    <dgm:cxn modelId="{B48E0E77-B62E-4498-A840-EE9A02A721DE}" type="presParOf" srcId="{D2147CE7-55B5-4289-95EA-E48035A21E7A}" destId="{A98D2C77-AB2E-4734-BD72-0AAFCDCB3B38}" srcOrd="7" destOrd="0" presId="urn:microsoft.com/office/officeart/2005/8/layout/gear1"/>
    <dgm:cxn modelId="{40856754-D3D2-4A3A-AA59-F5E783801D26}" type="presParOf" srcId="{D2147CE7-55B5-4289-95EA-E48035A21E7A}" destId="{B7A8C643-326B-470C-B29A-8CDB28E398D6}" srcOrd="8" destOrd="0" presId="urn:microsoft.com/office/officeart/2005/8/layout/gear1"/>
    <dgm:cxn modelId="{3663A643-15C5-4C6E-AE4B-F19E44170C38}" type="presParOf" srcId="{D2147CE7-55B5-4289-95EA-E48035A21E7A}" destId="{3AF81862-CA10-46E9-B990-31ED7B1C337E}" srcOrd="9" destOrd="0" presId="urn:microsoft.com/office/officeart/2005/8/layout/gear1"/>
    <dgm:cxn modelId="{395ABE80-A06C-4440-A7F8-6FFAEF42D230}" type="presParOf" srcId="{D2147CE7-55B5-4289-95EA-E48035A21E7A}" destId="{B37849E0-CEA8-488F-91B6-DCD6996B663B}" srcOrd="10" destOrd="0" presId="urn:microsoft.com/office/officeart/2005/8/layout/gear1"/>
    <dgm:cxn modelId="{CF382DA8-64E8-4A88-9A1A-6DFB6AEB5567}" type="presParOf" srcId="{D2147CE7-55B5-4289-95EA-E48035A21E7A}" destId="{F866955C-FDD6-4476-A602-38378FC1FF65}" srcOrd="11" destOrd="0" presId="urn:microsoft.com/office/officeart/2005/8/layout/gear1"/>
    <dgm:cxn modelId="{FD46C755-5415-48F9-9317-F798DEF8EFC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6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2FEB9F46-F335-413E-B46F-8FCA683B9FE6}" type="presOf" srcId="{3346F7C9-2BEC-483F-AA76-59D108DC6B49}" destId="{B37849E0-CEA8-488F-91B6-DCD6996B663B}" srcOrd="0" destOrd="0" presId="urn:microsoft.com/office/officeart/2005/8/layout/gear1"/>
    <dgm:cxn modelId="{63DCE9F7-25EA-46EA-8AEC-C392B809BB3D}" type="presOf" srcId="{3D76B524-8A76-40C1-B814-E94C8DB75581}" destId="{137BE4E3-5CDA-48F5-AF51-AD37FDB9CD12}" srcOrd="1" destOrd="0" presId="urn:microsoft.com/office/officeart/2005/8/layout/gear1"/>
    <dgm:cxn modelId="{04FBE302-A779-4051-8BC2-463F25FFE3CC}" type="presOf" srcId="{B1FE7251-DD78-43DC-9EFE-35E755B8C113}" destId="{B7A8C643-326B-470C-B29A-8CDB28E398D6}" srcOrd="2" destOrd="0" presId="urn:microsoft.com/office/officeart/2005/8/layout/gear1"/>
    <dgm:cxn modelId="{7994F840-4572-4374-9D8A-597EF87C49D5}" type="presOf" srcId="{EFC6E8EB-5017-42DF-B53D-6BC9750F37C4}" destId="{47172D9C-3CDF-4F63-B3B0-178F68183869}" srcOrd="0" destOrd="0" presId="urn:microsoft.com/office/officeart/2005/8/layout/gear1"/>
    <dgm:cxn modelId="{F0B59549-FD8F-4CA9-B75D-0A30F203F8E4}" type="presOf" srcId="{20027F76-6EF2-4DD8-BE41-A475A2100245}" destId="{D2147CE7-55B5-4289-95EA-E48035A21E7A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EB549E82-479C-4364-BE0A-0668D607C7AB}" type="presOf" srcId="{3D76B524-8A76-40C1-B814-E94C8DB75581}" destId="{CCF3D23A-09EE-4067-A641-DD59D0533FC8}" srcOrd="0" destOrd="0" presId="urn:microsoft.com/office/officeart/2005/8/layout/gear1"/>
    <dgm:cxn modelId="{8D59A1F3-3988-48D8-984D-5F0360D30428}" type="presOf" srcId="{1C68C4BB-E0CE-4BD4-A250-6BB1313C8102}" destId="{6E4C15D3-C544-4998-AF52-23101F882761}" srcOrd="2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CD296ABC-C47A-4FF2-BD52-E4B94BF2AAD3}" type="presOf" srcId="{90BC29A1-EAB1-4B07-BFBE-43D30ADE786F}" destId="{F866955C-FDD6-4476-A602-38378FC1FF65}" srcOrd="0" destOrd="0" presId="urn:microsoft.com/office/officeart/2005/8/layout/gear1"/>
    <dgm:cxn modelId="{55930237-469E-4733-8A51-4707EB52922D}" type="presOf" srcId="{1C68C4BB-E0CE-4BD4-A250-6BB1313C8102}" destId="{92C8D4F5-79A2-46B4-ACB2-76BAF8E81BD2}" srcOrd="0" destOrd="0" presId="urn:microsoft.com/office/officeart/2005/8/layout/gear1"/>
    <dgm:cxn modelId="{712A789A-A2DB-482F-BCE1-9BEA99306481}" type="presOf" srcId="{B1FE7251-DD78-43DC-9EFE-35E755B8C113}" destId="{A98D2C77-AB2E-4734-BD72-0AAFCDCB3B38}" srcOrd="1" destOrd="0" presId="urn:microsoft.com/office/officeart/2005/8/layout/gear1"/>
    <dgm:cxn modelId="{45CA690F-777E-4DDD-97CD-5FEB04042290}" type="presOf" srcId="{B1FE7251-DD78-43DC-9EFE-35E755B8C113}" destId="{76545084-0B49-479C-835B-7413B848C4E7}" srcOrd="0" destOrd="0" presId="urn:microsoft.com/office/officeart/2005/8/layout/gear1"/>
    <dgm:cxn modelId="{3B844219-2AC7-45F2-9B7A-B8A20DA0BC22}" type="presOf" srcId="{3D76B524-8A76-40C1-B814-E94C8DB75581}" destId="{044497E5-8C0A-41F1-B8EF-6EE2B96D3C1D}" srcOrd="2" destOrd="0" presId="urn:microsoft.com/office/officeart/2005/8/layout/gear1"/>
    <dgm:cxn modelId="{9934B76C-0FEE-4826-BC66-D3698A9DB908}" type="presOf" srcId="{B1FE7251-DD78-43DC-9EFE-35E755B8C113}" destId="{3AF81862-CA10-46E9-B990-31ED7B1C337E}" srcOrd="3" destOrd="0" presId="urn:microsoft.com/office/officeart/2005/8/layout/gear1"/>
    <dgm:cxn modelId="{F8D9B9BF-275E-4CB0-B9F7-896F5A060A01}" type="presOf" srcId="{1C68C4BB-E0CE-4BD4-A250-6BB1313C8102}" destId="{700D604D-9802-4F72-9388-062E057578B0}" srcOrd="1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ED3A7BB5-1917-4629-82F9-D93A3B39DAE1}" type="presParOf" srcId="{D2147CE7-55B5-4289-95EA-E48035A21E7A}" destId="{CCF3D23A-09EE-4067-A641-DD59D0533FC8}" srcOrd="0" destOrd="0" presId="urn:microsoft.com/office/officeart/2005/8/layout/gear1"/>
    <dgm:cxn modelId="{6F62DC7C-90B2-4B0B-B23C-3686309003C7}" type="presParOf" srcId="{D2147CE7-55B5-4289-95EA-E48035A21E7A}" destId="{137BE4E3-5CDA-48F5-AF51-AD37FDB9CD12}" srcOrd="1" destOrd="0" presId="urn:microsoft.com/office/officeart/2005/8/layout/gear1"/>
    <dgm:cxn modelId="{8CC4ECFF-D0BF-4C3E-B7EC-378FAA63A204}" type="presParOf" srcId="{D2147CE7-55B5-4289-95EA-E48035A21E7A}" destId="{044497E5-8C0A-41F1-B8EF-6EE2B96D3C1D}" srcOrd="2" destOrd="0" presId="urn:microsoft.com/office/officeart/2005/8/layout/gear1"/>
    <dgm:cxn modelId="{011CE9E2-8852-4109-A8FB-D5A22DD9920E}" type="presParOf" srcId="{D2147CE7-55B5-4289-95EA-E48035A21E7A}" destId="{92C8D4F5-79A2-46B4-ACB2-76BAF8E81BD2}" srcOrd="3" destOrd="0" presId="urn:microsoft.com/office/officeart/2005/8/layout/gear1"/>
    <dgm:cxn modelId="{007FA1C7-41AD-47C8-8DA3-F0A9E6D9670C}" type="presParOf" srcId="{D2147CE7-55B5-4289-95EA-E48035A21E7A}" destId="{700D604D-9802-4F72-9388-062E057578B0}" srcOrd="4" destOrd="0" presId="urn:microsoft.com/office/officeart/2005/8/layout/gear1"/>
    <dgm:cxn modelId="{7342E4E4-E6D1-4B19-8413-0F481AD253E1}" type="presParOf" srcId="{D2147CE7-55B5-4289-95EA-E48035A21E7A}" destId="{6E4C15D3-C544-4998-AF52-23101F882761}" srcOrd="5" destOrd="0" presId="urn:microsoft.com/office/officeart/2005/8/layout/gear1"/>
    <dgm:cxn modelId="{D8B5408B-C6C1-479A-B604-9241812A2A64}" type="presParOf" srcId="{D2147CE7-55B5-4289-95EA-E48035A21E7A}" destId="{76545084-0B49-479C-835B-7413B848C4E7}" srcOrd="6" destOrd="0" presId="urn:microsoft.com/office/officeart/2005/8/layout/gear1"/>
    <dgm:cxn modelId="{66D8FE2E-B46C-45E2-A575-14A40DA83217}" type="presParOf" srcId="{D2147CE7-55B5-4289-95EA-E48035A21E7A}" destId="{A98D2C77-AB2E-4734-BD72-0AAFCDCB3B38}" srcOrd="7" destOrd="0" presId="urn:microsoft.com/office/officeart/2005/8/layout/gear1"/>
    <dgm:cxn modelId="{8D3FF6B8-D450-49CB-9541-2CC9A3D60F2F}" type="presParOf" srcId="{D2147CE7-55B5-4289-95EA-E48035A21E7A}" destId="{B7A8C643-326B-470C-B29A-8CDB28E398D6}" srcOrd="8" destOrd="0" presId="urn:microsoft.com/office/officeart/2005/8/layout/gear1"/>
    <dgm:cxn modelId="{949102C1-2A76-4B88-A360-9BF8A0E144E1}" type="presParOf" srcId="{D2147CE7-55B5-4289-95EA-E48035A21E7A}" destId="{3AF81862-CA10-46E9-B990-31ED7B1C337E}" srcOrd="9" destOrd="0" presId="urn:microsoft.com/office/officeart/2005/8/layout/gear1"/>
    <dgm:cxn modelId="{5D5D2D09-06B5-4DE7-9265-06BDF76B5BAE}" type="presParOf" srcId="{D2147CE7-55B5-4289-95EA-E48035A21E7A}" destId="{B37849E0-CEA8-488F-91B6-DCD6996B663B}" srcOrd="10" destOrd="0" presId="urn:microsoft.com/office/officeart/2005/8/layout/gear1"/>
    <dgm:cxn modelId="{2E0BBEE8-6F31-4FC4-BD82-B3140D06BA3F}" type="presParOf" srcId="{D2147CE7-55B5-4289-95EA-E48035A21E7A}" destId="{F866955C-FDD6-4476-A602-38378FC1FF65}" srcOrd="11" destOrd="0" presId="urn:microsoft.com/office/officeart/2005/8/layout/gear1"/>
    <dgm:cxn modelId="{C91EE71E-6DDD-4B42-89FF-36A26F9813A7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1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A03F3E20-12D1-4659-BA9C-C9D59D0DCA52}" type="presOf" srcId="{90BC29A1-EAB1-4B07-BFBE-43D30ADE786F}" destId="{F866955C-FDD6-4476-A602-38378FC1FF65}" srcOrd="0" destOrd="0" presId="urn:microsoft.com/office/officeart/2005/8/layout/gear1"/>
    <dgm:cxn modelId="{C8566053-1B76-4C46-8F73-972437FB4B18}" type="presOf" srcId="{B1FE7251-DD78-43DC-9EFE-35E755B8C113}" destId="{3AF81862-CA10-46E9-B990-31ED7B1C337E}" srcOrd="3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4B29BF3A-A208-4A65-961B-618C3A4F9D7F}" type="presOf" srcId="{3346F7C9-2BEC-483F-AA76-59D108DC6B49}" destId="{B37849E0-CEA8-488F-91B6-DCD6996B663B}" srcOrd="0" destOrd="0" presId="urn:microsoft.com/office/officeart/2005/8/layout/gear1"/>
    <dgm:cxn modelId="{A8320FFC-2D3C-43AB-AE6A-9266A1C43EF6}" type="presOf" srcId="{EFC6E8EB-5017-42DF-B53D-6BC9750F37C4}" destId="{47172D9C-3CDF-4F63-B3B0-178F68183869}" srcOrd="0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13F588D5-132A-4627-915D-FBFC3287AD04}" type="presOf" srcId="{1C68C4BB-E0CE-4BD4-A250-6BB1313C8102}" destId="{6E4C15D3-C544-4998-AF52-23101F882761}" srcOrd="2" destOrd="0" presId="urn:microsoft.com/office/officeart/2005/8/layout/gear1"/>
    <dgm:cxn modelId="{F0077E50-E209-4CDE-8195-73755DB261EC}" type="presOf" srcId="{1C68C4BB-E0CE-4BD4-A250-6BB1313C8102}" destId="{92C8D4F5-79A2-46B4-ACB2-76BAF8E81BD2}" srcOrd="0" destOrd="0" presId="urn:microsoft.com/office/officeart/2005/8/layout/gear1"/>
    <dgm:cxn modelId="{37973F0D-BB29-41C6-B89B-578D2AA1F226}" type="presOf" srcId="{3D76B524-8A76-40C1-B814-E94C8DB75581}" destId="{137BE4E3-5CDA-48F5-AF51-AD37FDB9CD12}" srcOrd="1" destOrd="0" presId="urn:microsoft.com/office/officeart/2005/8/layout/gear1"/>
    <dgm:cxn modelId="{9D503628-B795-4293-98D0-C30721E6835D}" type="presOf" srcId="{20027F76-6EF2-4DD8-BE41-A475A2100245}" destId="{D2147CE7-55B5-4289-95EA-E48035A21E7A}" srcOrd="0" destOrd="0" presId="urn:microsoft.com/office/officeart/2005/8/layout/gear1"/>
    <dgm:cxn modelId="{FFA2BE93-9FBD-4ECE-BE9F-368B0D161BB6}" type="presOf" srcId="{3D76B524-8A76-40C1-B814-E94C8DB75581}" destId="{CCF3D23A-09EE-4067-A641-DD59D0533FC8}" srcOrd="0" destOrd="0" presId="urn:microsoft.com/office/officeart/2005/8/layout/gear1"/>
    <dgm:cxn modelId="{58386627-55B1-4C69-8E9E-A23301B42D8F}" type="presOf" srcId="{B1FE7251-DD78-43DC-9EFE-35E755B8C113}" destId="{B7A8C643-326B-470C-B29A-8CDB28E398D6}" srcOrd="2" destOrd="0" presId="urn:microsoft.com/office/officeart/2005/8/layout/gear1"/>
    <dgm:cxn modelId="{44FCB282-4503-48E1-9359-5B0F13768CF5}" type="presOf" srcId="{B1FE7251-DD78-43DC-9EFE-35E755B8C113}" destId="{A98D2C77-AB2E-4734-BD72-0AAFCDCB3B38}" srcOrd="1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CDEADE7A-720B-4A73-AA3B-0C6DFE39EC27}" type="presOf" srcId="{1C68C4BB-E0CE-4BD4-A250-6BB1313C8102}" destId="{700D604D-9802-4F72-9388-062E057578B0}" srcOrd="1" destOrd="0" presId="urn:microsoft.com/office/officeart/2005/8/layout/gear1"/>
    <dgm:cxn modelId="{A5411A94-AC95-4E89-A15D-292E4746E566}" type="presOf" srcId="{B1FE7251-DD78-43DC-9EFE-35E755B8C113}" destId="{76545084-0B49-479C-835B-7413B848C4E7}" srcOrd="0" destOrd="0" presId="urn:microsoft.com/office/officeart/2005/8/layout/gear1"/>
    <dgm:cxn modelId="{DDE9A48A-EECE-4F6F-BD48-264720B2462D}" type="presOf" srcId="{3D76B524-8A76-40C1-B814-E94C8DB75581}" destId="{044497E5-8C0A-41F1-B8EF-6EE2B96D3C1D}" srcOrd="2" destOrd="0" presId="urn:microsoft.com/office/officeart/2005/8/layout/gear1"/>
    <dgm:cxn modelId="{419BB02F-A72F-4A93-B028-27B0E130CD89}" type="presParOf" srcId="{D2147CE7-55B5-4289-95EA-E48035A21E7A}" destId="{CCF3D23A-09EE-4067-A641-DD59D0533FC8}" srcOrd="0" destOrd="0" presId="urn:microsoft.com/office/officeart/2005/8/layout/gear1"/>
    <dgm:cxn modelId="{3E7BA106-E089-4F52-8093-B194D5DBF3A0}" type="presParOf" srcId="{D2147CE7-55B5-4289-95EA-E48035A21E7A}" destId="{137BE4E3-5CDA-48F5-AF51-AD37FDB9CD12}" srcOrd="1" destOrd="0" presId="urn:microsoft.com/office/officeart/2005/8/layout/gear1"/>
    <dgm:cxn modelId="{B308C480-CC0F-4C1D-B1FA-2F59481DA9D3}" type="presParOf" srcId="{D2147CE7-55B5-4289-95EA-E48035A21E7A}" destId="{044497E5-8C0A-41F1-B8EF-6EE2B96D3C1D}" srcOrd="2" destOrd="0" presId="urn:microsoft.com/office/officeart/2005/8/layout/gear1"/>
    <dgm:cxn modelId="{1E82B4E2-0BF9-4305-8A65-E16D7BDEEC78}" type="presParOf" srcId="{D2147CE7-55B5-4289-95EA-E48035A21E7A}" destId="{92C8D4F5-79A2-46B4-ACB2-76BAF8E81BD2}" srcOrd="3" destOrd="0" presId="urn:microsoft.com/office/officeart/2005/8/layout/gear1"/>
    <dgm:cxn modelId="{326F19A2-0246-4279-8BD5-B4B49E84F941}" type="presParOf" srcId="{D2147CE7-55B5-4289-95EA-E48035A21E7A}" destId="{700D604D-9802-4F72-9388-062E057578B0}" srcOrd="4" destOrd="0" presId="urn:microsoft.com/office/officeart/2005/8/layout/gear1"/>
    <dgm:cxn modelId="{CD19082D-EEFF-47B7-8971-D1165A26D19D}" type="presParOf" srcId="{D2147CE7-55B5-4289-95EA-E48035A21E7A}" destId="{6E4C15D3-C544-4998-AF52-23101F882761}" srcOrd="5" destOrd="0" presId="urn:microsoft.com/office/officeart/2005/8/layout/gear1"/>
    <dgm:cxn modelId="{1344CBED-5B4E-4B57-A527-99F8DD459571}" type="presParOf" srcId="{D2147CE7-55B5-4289-95EA-E48035A21E7A}" destId="{76545084-0B49-479C-835B-7413B848C4E7}" srcOrd="6" destOrd="0" presId="urn:microsoft.com/office/officeart/2005/8/layout/gear1"/>
    <dgm:cxn modelId="{646C814A-1A7D-48B4-8168-01A3956087EE}" type="presParOf" srcId="{D2147CE7-55B5-4289-95EA-E48035A21E7A}" destId="{A98D2C77-AB2E-4734-BD72-0AAFCDCB3B38}" srcOrd="7" destOrd="0" presId="urn:microsoft.com/office/officeart/2005/8/layout/gear1"/>
    <dgm:cxn modelId="{47EC74A4-6284-4AFB-BE20-F3C74F36DF35}" type="presParOf" srcId="{D2147CE7-55B5-4289-95EA-E48035A21E7A}" destId="{B7A8C643-326B-470C-B29A-8CDB28E398D6}" srcOrd="8" destOrd="0" presId="urn:microsoft.com/office/officeart/2005/8/layout/gear1"/>
    <dgm:cxn modelId="{DA4E78CE-A3FA-49D2-8095-6984B365AAE6}" type="presParOf" srcId="{D2147CE7-55B5-4289-95EA-E48035A21E7A}" destId="{3AF81862-CA10-46E9-B990-31ED7B1C337E}" srcOrd="9" destOrd="0" presId="urn:microsoft.com/office/officeart/2005/8/layout/gear1"/>
    <dgm:cxn modelId="{730A75BD-E32F-400B-85EE-B114F4A457F0}" type="presParOf" srcId="{D2147CE7-55B5-4289-95EA-E48035A21E7A}" destId="{B37849E0-CEA8-488F-91B6-DCD6996B663B}" srcOrd="10" destOrd="0" presId="urn:microsoft.com/office/officeart/2005/8/layout/gear1"/>
    <dgm:cxn modelId="{907189A1-563E-4279-AD5A-F29A768E7563}" type="presParOf" srcId="{D2147CE7-55B5-4289-95EA-E48035A21E7A}" destId="{F866955C-FDD6-4476-A602-38378FC1FF65}" srcOrd="11" destOrd="0" presId="urn:microsoft.com/office/officeart/2005/8/layout/gear1"/>
    <dgm:cxn modelId="{08348180-8EB1-4131-A234-4C4BC72D86C5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6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481D907D-ABF8-4D0D-B4BB-E4C11AF17584}" type="presOf" srcId="{90BC29A1-EAB1-4B07-BFBE-43D30ADE786F}" destId="{F866955C-FDD6-4476-A602-38378FC1FF65}" srcOrd="0" destOrd="0" presId="urn:microsoft.com/office/officeart/2005/8/layout/gear1"/>
    <dgm:cxn modelId="{9BC648F8-E329-4A0F-B128-507F931BD886}" type="presOf" srcId="{20027F76-6EF2-4DD8-BE41-A475A2100245}" destId="{D2147CE7-55B5-4289-95EA-E48035A21E7A}" srcOrd="0" destOrd="0" presId="urn:microsoft.com/office/officeart/2005/8/layout/gear1"/>
    <dgm:cxn modelId="{01D1E583-AAA2-44A9-877D-8938A182913C}" type="presOf" srcId="{1C68C4BB-E0CE-4BD4-A250-6BB1313C8102}" destId="{700D604D-9802-4F72-9388-062E057578B0}" srcOrd="1" destOrd="0" presId="urn:microsoft.com/office/officeart/2005/8/layout/gear1"/>
    <dgm:cxn modelId="{7538DD04-3B38-45ED-A6F6-D7E8264D6D4E}" type="presOf" srcId="{3346F7C9-2BEC-483F-AA76-59D108DC6B49}" destId="{B37849E0-CEA8-488F-91B6-DCD6996B663B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09CCAFBB-E57B-4D93-8A48-239879A6FDC5}" type="presOf" srcId="{3D76B524-8A76-40C1-B814-E94C8DB75581}" destId="{137BE4E3-5CDA-48F5-AF51-AD37FDB9CD12}" srcOrd="1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89B31D31-37C4-47CB-A1F4-639D90B98606}" type="presOf" srcId="{1C68C4BB-E0CE-4BD4-A250-6BB1313C8102}" destId="{92C8D4F5-79A2-46B4-ACB2-76BAF8E81BD2}" srcOrd="0" destOrd="0" presId="urn:microsoft.com/office/officeart/2005/8/layout/gear1"/>
    <dgm:cxn modelId="{38D6621B-9F7B-4345-86E0-8D5B5683CA7C}" type="presOf" srcId="{3D76B524-8A76-40C1-B814-E94C8DB75581}" destId="{044497E5-8C0A-41F1-B8EF-6EE2B96D3C1D}" srcOrd="2" destOrd="0" presId="urn:microsoft.com/office/officeart/2005/8/layout/gear1"/>
    <dgm:cxn modelId="{C5DF28A1-72DF-4BE8-89A5-9F09E8362286}" type="presOf" srcId="{1C68C4BB-E0CE-4BD4-A250-6BB1313C8102}" destId="{6E4C15D3-C544-4998-AF52-23101F882761}" srcOrd="2" destOrd="0" presId="urn:microsoft.com/office/officeart/2005/8/layout/gear1"/>
    <dgm:cxn modelId="{331EFA14-2356-4157-B047-8F47C8B58DEA}" type="presOf" srcId="{B1FE7251-DD78-43DC-9EFE-35E755B8C113}" destId="{A98D2C77-AB2E-4734-BD72-0AAFCDCB3B38}" srcOrd="1" destOrd="0" presId="urn:microsoft.com/office/officeart/2005/8/layout/gear1"/>
    <dgm:cxn modelId="{EFA9F234-7189-411D-9078-508686F1A02D}" type="presOf" srcId="{EFC6E8EB-5017-42DF-B53D-6BC9750F37C4}" destId="{47172D9C-3CDF-4F63-B3B0-178F68183869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EB32E658-688E-475A-A5FA-40361B3F7FC0}" type="presOf" srcId="{B1FE7251-DD78-43DC-9EFE-35E755B8C113}" destId="{B7A8C643-326B-470C-B29A-8CDB28E398D6}" srcOrd="2" destOrd="0" presId="urn:microsoft.com/office/officeart/2005/8/layout/gear1"/>
    <dgm:cxn modelId="{D7A6E8E3-9E31-4686-AD8B-3A01B747D572}" type="presOf" srcId="{3D76B524-8A76-40C1-B814-E94C8DB75581}" destId="{CCF3D23A-09EE-4067-A641-DD59D0533FC8}" srcOrd="0" destOrd="0" presId="urn:microsoft.com/office/officeart/2005/8/layout/gear1"/>
    <dgm:cxn modelId="{4610010F-B6CE-47CF-A078-3D61629A2E20}" type="presOf" srcId="{B1FE7251-DD78-43DC-9EFE-35E755B8C113}" destId="{76545084-0B49-479C-835B-7413B848C4E7}" srcOrd="0" destOrd="0" presId="urn:microsoft.com/office/officeart/2005/8/layout/gear1"/>
    <dgm:cxn modelId="{A522FFDF-D1AF-43B0-ADC7-4B75E19A2C3B}" type="presOf" srcId="{B1FE7251-DD78-43DC-9EFE-35E755B8C113}" destId="{3AF81862-CA10-46E9-B990-31ED7B1C337E}" srcOrd="3" destOrd="0" presId="urn:microsoft.com/office/officeart/2005/8/layout/gear1"/>
    <dgm:cxn modelId="{7650D471-F436-4D4E-A3C5-B7C9BB9BB272}" type="presParOf" srcId="{D2147CE7-55B5-4289-95EA-E48035A21E7A}" destId="{CCF3D23A-09EE-4067-A641-DD59D0533FC8}" srcOrd="0" destOrd="0" presId="urn:microsoft.com/office/officeart/2005/8/layout/gear1"/>
    <dgm:cxn modelId="{EEC8D0CB-4283-4097-8C81-15F53E5C1780}" type="presParOf" srcId="{D2147CE7-55B5-4289-95EA-E48035A21E7A}" destId="{137BE4E3-5CDA-48F5-AF51-AD37FDB9CD12}" srcOrd="1" destOrd="0" presId="urn:microsoft.com/office/officeart/2005/8/layout/gear1"/>
    <dgm:cxn modelId="{C6BDC2E6-3468-408D-8866-E32F2C80D713}" type="presParOf" srcId="{D2147CE7-55B5-4289-95EA-E48035A21E7A}" destId="{044497E5-8C0A-41F1-B8EF-6EE2B96D3C1D}" srcOrd="2" destOrd="0" presId="urn:microsoft.com/office/officeart/2005/8/layout/gear1"/>
    <dgm:cxn modelId="{5AABB9A2-8582-4620-ADB2-603BA4D6A499}" type="presParOf" srcId="{D2147CE7-55B5-4289-95EA-E48035A21E7A}" destId="{92C8D4F5-79A2-46B4-ACB2-76BAF8E81BD2}" srcOrd="3" destOrd="0" presId="urn:microsoft.com/office/officeart/2005/8/layout/gear1"/>
    <dgm:cxn modelId="{866B087E-8E0E-4CCF-947C-2F65949F6322}" type="presParOf" srcId="{D2147CE7-55B5-4289-95EA-E48035A21E7A}" destId="{700D604D-9802-4F72-9388-062E057578B0}" srcOrd="4" destOrd="0" presId="urn:microsoft.com/office/officeart/2005/8/layout/gear1"/>
    <dgm:cxn modelId="{CAEE2D60-3A39-439F-9AFF-583CA382FCE1}" type="presParOf" srcId="{D2147CE7-55B5-4289-95EA-E48035A21E7A}" destId="{6E4C15D3-C544-4998-AF52-23101F882761}" srcOrd="5" destOrd="0" presId="urn:microsoft.com/office/officeart/2005/8/layout/gear1"/>
    <dgm:cxn modelId="{1B163554-5E1A-4ECA-8837-18E19C0A8DED}" type="presParOf" srcId="{D2147CE7-55B5-4289-95EA-E48035A21E7A}" destId="{76545084-0B49-479C-835B-7413B848C4E7}" srcOrd="6" destOrd="0" presId="urn:microsoft.com/office/officeart/2005/8/layout/gear1"/>
    <dgm:cxn modelId="{E78F99F9-BD26-4552-882B-12024F2D5EA4}" type="presParOf" srcId="{D2147CE7-55B5-4289-95EA-E48035A21E7A}" destId="{A98D2C77-AB2E-4734-BD72-0AAFCDCB3B38}" srcOrd="7" destOrd="0" presId="urn:microsoft.com/office/officeart/2005/8/layout/gear1"/>
    <dgm:cxn modelId="{2F492376-A4A4-4D75-8905-F0D25F68FF17}" type="presParOf" srcId="{D2147CE7-55B5-4289-95EA-E48035A21E7A}" destId="{B7A8C643-326B-470C-B29A-8CDB28E398D6}" srcOrd="8" destOrd="0" presId="urn:microsoft.com/office/officeart/2005/8/layout/gear1"/>
    <dgm:cxn modelId="{201A2CD7-FB1F-423D-B579-658E20C535EC}" type="presParOf" srcId="{D2147CE7-55B5-4289-95EA-E48035A21E7A}" destId="{3AF81862-CA10-46E9-B990-31ED7B1C337E}" srcOrd="9" destOrd="0" presId="urn:microsoft.com/office/officeart/2005/8/layout/gear1"/>
    <dgm:cxn modelId="{D2DC7AB8-9E3F-46D4-8074-E891E6F68C31}" type="presParOf" srcId="{D2147CE7-55B5-4289-95EA-E48035A21E7A}" destId="{B37849E0-CEA8-488F-91B6-DCD6996B663B}" srcOrd="10" destOrd="0" presId="urn:microsoft.com/office/officeart/2005/8/layout/gear1"/>
    <dgm:cxn modelId="{844B39ED-E736-4FC4-8DC2-18D527927871}" type="presParOf" srcId="{D2147CE7-55B5-4289-95EA-E48035A21E7A}" destId="{F866955C-FDD6-4476-A602-38378FC1FF65}" srcOrd="11" destOrd="0" presId="urn:microsoft.com/office/officeart/2005/8/layout/gear1"/>
    <dgm:cxn modelId="{64E617BF-205F-4627-93CE-7B93F8D14E52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1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32D8DCA7-E6E4-4FF9-B0A8-03E438C13F5C}" type="presOf" srcId="{EFC6E8EB-5017-42DF-B53D-6BC9750F37C4}" destId="{47172D9C-3CDF-4F63-B3B0-178F68183869}" srcOrd="0" destOrd="0" presId="urn:microsoft.com/office/officeart/2005/8/layout/gear1"/>
    <dgm:cxn modelId="{0B85BF4B-86AA-4FF0-8E98-6BCFC4E87BD2}" type="presOf" srcId="{1C68C4BB-E0CE-4BD4-A250-6BB1313C8102}" destId="{6E4C15D3-C544-4998-AF52-23101F882761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F3D4C7A2-6D5A-4EE6-ADD2-72BF92EEDE93}" type="presOf" srcId="{1C68C4BB-E0CE-4BD4-A250-6BB1313C8102}" destId="{92C8D4F5-79A2-46B4-ACB2-76BAF8E81BD2}" srcOrd="0" destOrd="0" presId="urn:microsoft.com/office/officeart/2005/8/layout/gear1"/>
    <dgm:cxn modelId="{9F0EC4DD-3828-4B7E-A7B6-029CB4062ED2}" type="presOf" srcId="{1C68C4BB-E0CE-4BD4-A250-6BB1313C8102}" destId="{700D604D-9802-4F72-9388-062E057578B0}" srcOrd="1" destOrd="0" presId="urn:microsoft.com/office/officeart/2005/8/layout/gear1"/>
    <dgm:cxn modelId="{B4E4269C-AD1D-48DE-9D34-649EA0CD908F}" type="presOf" srcId="{B1FE7251-DD78-43DC-9EFE-35E755B8C113}" destId="{3AF81862-CA10-46E9-B990-31ED7B1C337E}" srcOrd="3" destOrd="0" presId="urn:microsoft.com/office/officeart/2005/8/layout/gear1"/>
    <dgm:cxn modelId="{1C7BEEE2-2D6F-42B3-876C-3696E88D9C38}" type="presOf" srcId="{3D76B524-8A76-40C1-B814-E94C8DB75581}" destId="{CCF3D23A-09EE-4067-A641-DD59D0533FC8}" srcOrd="0" destOrd="0" presId="urn:microsoft.com/office/officeart/2005/8/layout/gear1"/>
    <dgm:cxn modelId="{D7CB0109-6E9B-424C-9863-C6B2E7C66CD5}" type="presOf" srcId="{3D76B524-8A76-40C1-B814-E94C8DB75581}" destId="{044497E5-8C0A-41F1-B8EF-6EE2B96D3C1D}" srcOrd="2" destOrd="0" presId="urn:microsoft.com/office/officeart/2005/8/layout/gear1"/>
    <dgm:cxn modelId="{4031996F-8125-42C6-B186-DB4422810E00}" type="presOf" srcId="{20027F76-6EF2-4DD8-BE41-A475A2100245}" destId="{D2147CE7-55B5-4289-95EA-E48035A21E7A}" srcOrd="0" destOrd="0" presId="urn:microsoft.com/office/officeart/2005/8/layout/gear1"/>
    <dgm:cxn modelId="{82D17B05-485C-497E-8C48-1CF5269B7DDF}" type="presOf" srcId="{3D76B524-8A76-40C1-B814-E94C8DB75581}" destId="{137BE4E3-5CDA-48F5-AF51-AD37FDB9CD12}" srcOrd="1" destOrd="0" presId="urn:microsoft.com/office/officeart/2005/8/layout/gear1"/>
    <dgm:cxn modelId="{FE00B7CD-AC68-414E-A028-15C8836EDA44}" type="presOf" srcId="{B1FE7251-DD78-43DC-9EFE-35E755B8C113}" destId="{76545084-0B49-479C-835B-7413B848C4E7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A625D761-386E-4B9F-8A1C-A369B35C9F00}" type="presOf" srcId="{B1FE7251-DD78-43DC-9EFE-35E755B8C113}" destId="{B7A8C643-326B-470C-B29A-8CDB28E398D6}" srcOrd="2" destOrd="0" presId="urn:microsoft.com/office/officeart/2005/8/layout/gear1"/>
    <dgm:cxn modelId="{27C2D301-F376-4560-A8DA-C54CCEAAADA5}" type="presOf" srcId="{3346F7C9-2BEC-483F-AA76-59D108DC6B49}" destId="{B37849E0-CEA8-488F-91B6-DCD6996B663B}" srcOrd="0" destOrd="0" presId="urn:microsoft.com/office/officeart/2005/8/layout/gear1"/>
    <dgm:cxn modelId="{B07BAC5D-3BF2-4773-A74C-D8BF292AB4A7}" type="presOf" srcId="{90BC29A1-EAB1-4B07-BFBE-43D30ADE786F}" destId="{F866955C-FDD6-4476-A602-38378FC1FF65}" srcOrd="0" destOrd="0" presId="urn:microsoft.com/office/officeart/2005/8/layout/gear1"/>
    <dgm:cxn modelId="{903AA8DB-42B1-4A0D-88E5-5779137BB6D7}" type="presOf" srcId="{B1FE7251-DD78-43DC-9EFE-35E755B8C113}" destId="{A98D2C77-AB2E-4734-BD72-0AAFCDCB3B38}" srcOrd="1" destOrd="0" presId="urn:microsoft.com/office/officeart/2005/8/layout/gear1"/>
    <dgm:cxn modelId="{02D29FCE-E0D8-487B-A096-AB63AE204995}" type="presParOf" srcId="{D2147CE7-55B5-4289-95EA-E48035A21E7A}" destId="{CCF3D23A-09EE-4067-A641-DD59D0533FC8}" srcOrd="0" destOrd="0" presId="urn:microsoft.com/office/officeart/2005/8/layout/gear1"/>
    <dgm:cxn modelId="{BA6E15F1-F359-446B-9C7F-270297675685}" type="presParOf" srcId="{D2147CE7-55B5-4289-95EA-E48035A21E7A}" destId="{137BE4E3-5CDA-48F5-AF51-AD37FDB9CD12}" srcOrd="1" destOrd="0" presId="urn:microsoft.com/office/officeart/2005/8/layout/gear1"/>
    <dgm:cxn modelId="{411ADBA6-9C24-4C9E-ABA0-AA4E58A94E1B}" type="presParOf" srcId="{D2147CE7-55B5-4289-95EA-E48035A21E7A}" destId="{044497E5-8C0A-41F1-B8EF-6EE2B96D3C1D}" srcOrd="2" destOrd="0" presId="urn:microsoft.com/office/officeart/2005/8/layout/gear1"/>
    <dgm:cxn modelId="{B0990000-295E-49E1-9002-F4740A27A92A}" type="presParOf" srcId="{D2147CE7-55B5-4289-95EA-E48035A21E7A}" destId="{92C8D4F5-79A2-46B4-ACB2-76BAF8E81BD2}" srcOrd="3" destOrd="0" presId="urn:microsoft.com/office/officeart/2005/8/layout/gear1"/>
    <dgm:cxn modelId="{03472769-8F6B-4A03-90AE-939592C5D827}" type="presParOf" srcId="{D2147CE7-55B5-4289-95EA-E48035A21E7A}" destId="{700D604D-9802-4F72-9388-062E057578B0}" srcOrd="4" destOrd="0" presId="urn:microsoft.com/office/officeart/2005/8/layout/gear1"/>
    <dgm:cxn modelId="{6CE61ACC-A23C-4FF9-A5DD-ED1099EE26FF}" type="presParOf" srcId="{D2147CE7-55B5-4289-95EA-E48035A21E7A}" destId="{6E4C15D3-C544-4998-AF52-23101F882761}" srcOrd="5" destOrd="0" presId="urn:microsoft.com/office/officeart/2005/8/layout/gear1"/>
    <dgm:cxn modelId="{278DC598-8086-4CFA-9039-6A56EC7A0CA7}" type="presParOf" srcId="{D2147CE7-55B5-4289-95EA-E48035A21E7A}" destId="{76545084-0B49-479C-835B-7413B848C4E7}" srcOrd="6" destOrd="0" presId="urn:microsoft.com/office/officeart/2005/8/layout/gear1"/>
    <dgm:cxn modelId="{D842CA00-6ED1-45B3-9C47-EC2680864F94}" type="presParOf" srcId="{D2147CE7-55B5-4289-95EA-E48035A21E7A}" destId="{A98D2C77-AB2E-4734-BD72-0AAFCDCB3B38}" srcOrd="7" destOrd="0" presId="urn:microsoft.com/office/officeart/2005/8/layout/gear1"/>
    <dgm:cxn modelId="{4A024276-828C-46D8-B0AE-459205BEF815}" type="presParOf" srcId="{D2147CE7-55B5-4289-95EA-E48035A21E7A}" destId="{B7A8C643-326B-470C-B29A-8CDB28E398D6}" srcOrd="8" destOrd="0" presId="urn:microsoft.com/office/officeart/2005/8/layout/gear1"/>
    <dgm:cxn modelId="{81E6DD5D-BBDA-42D0-BA5A-E0D9D2A0C73D}" type="presParOf" srcId="{D2147CE7-55B5-4289-95EA-E48035A21E7A}" destId="{3AF81862-CA10-46E9-B990-31ED7B1C337E}" srcOrd="9" destOrd="0" presId="urn:microsoft.com/office/officeart/2005/8/layout/gear1"/>
    <dgm:cxn modelId="{7F3F11BB-E95C-4B39-9AB9-55B1F33C7185}" type="presParOf" srcId="{D2147CE7-55B5-4289-95EA-E48035A21E7A}" destId="{B37849E0-CEA8-488F-91B6-DCD6996B663B}" srcOrd="10" destOrd="0" presId="urn:microsoft.com/office/officeart/2005/8/layout/gear1"/>
    <dgm:cxn modelId="{02282AA1-FFC9-472A-B648-EFD08648B2C1}" type="presParOf" srcId="{D2147CE7-55B5-4289-95EA-E48035A21E7A}" destId="{F866955C-FDD6-4476-A602-38378FC1FF65}" srcOrd="11" destOrd="0" presId="urn:microsoft.com/office/officeart/2005/8/layout/gear1"/>
    <dgm:cxn modelId="{6A81C5C3-9A54-4C56-AB49-5F44821CA1BE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6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C01FAEA6-0A2A-4133-864C-9D552948BCDE}" type="presOf" srcId="{3D76B524-8A76-40C1-B814-E94C8DB75581}" destId="{CCF3D23A-09EE-4067-A641-DD59D0533FC8}" srcOrd="0" destOrd="0" presId="urn:microsoft.com/office/officeart/2005/8/layout/gear1"/>
    <dgm:cxn modelId="{8506B961-32C8-4B97-BBFE-A0AEC2B095B5}" type="presOf" srcId="{1C68C4BB-E0CE-4BD4-A250-6BB1313C8102}" destId="{6E4C15D3-C544-4998-AF52-23101F882761}" srcOrd="2" destOrd="0" presId="urn:microsoft.com/office/officeart/2005/8/layout/gear1"/>
    <dgm:cxn modelId="{1779C45D-7B05-41DF-9158-C639CDA19B83}" type="presOf" srcId="{20027F76-6EF2-4DD8-BE41-A475A2100245}" destId="{D2147CE7-55B5-4289-95EA-E48035A21E7A}" srcOrd="0" destOrd="0" presId="urn:microsoft.com/office/officeart/2005/8/layout/gear1"/>
    <dgm:cxn modelId="{79CEF47E-B936-4D7E-8BE9-59FE25DF638D}" type="presOf" srcId="{B1FE7251-DD78-43DC-9EFE-35E755B8C113}" destId="{B7A8C643-326B-470C-B29A-8CDB28E398D6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B961C284-7584-4B14-992E-A94183049706}" type="presOf" srcId="{B1FE7251-DD78-43DC-9EFE-35E755B8C113}" destId="{3AF81862-CA10-46E9-B990-31ED7B1C337E}" srcOrd="3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3558B8AA-52AB-4403-90F1-DE6115653A32}" type="presOf" srcId="{3346F7C9-2BEC-483F-AA76-59D108DC6B49}" destId="{B37849E0-CEA8-488F-91B6-DCD6996B663B}" srcOrd="0" destOrd="0" presId="urn:microsoft.com/office/officeart/2005/8/layout/gear1"/>
    <dgm:cxn modelId="{CB8A5CA9-2C1C-4FF5-933A-644514A6DEA9}" type="presOf" srcId="{1C68C4BB-E0CE-4BD4-A250-6BB1313C8102}" destId="{700D604D-9802-4F72-9388-062E057578B0}" srcOrd="1" destOrd="0" presId="urn:microsoft.com/office/officeart/2005/8/layout/gear1"/>
    <dgm:cxn modelId="{38449FA8-5F99-411F-BD64-13752CC95F9D}" type="presOf" srcId="{B1FE7251-DD78-43DC-9EFE-35E755B8C113}" destId="{A98D2C77-AB2E-4734-BD72-0AAFCDCB3B38}" srcOrd="1" destOrd="0" presId="urn:microsoft.com/office/officeart/2005/8/layout/gear1"/>
    <dgm:cxn modelId="{A1613FCD-5CDD-41BA-879B-495EAD072461}" type="presOf" srcId="{3D76B524-8A76-40C1-B814-E94C8DB75581}" destId="{044497E5-8C0A-41F1-B8EF-6EE2B96D3C1D}" srcOrd="2" destOrd="0" presId="urn:microsoft.com/office/officeart/2005/8/layout/gear1"/>
    <dgm:cxn modelId="{DC268E42-2233-4885-8EE5-74303CE28DBC}" type="presOf" srcId="{90BC29A1-EAB1-4B07-BFBE-43D30ADE786F}" destId="{F866955C-FDD6-4476-A602-38378FC1FF65}" srcOrd="0" destOrd="0" presId="urn:microsoft.com/office/officeart/2005/8/layout/gear1"/>
    <dgm:cxn modelId="{E78E23ED-9C04-48C3-92CE-AEED2C179EE7}" type="presOf" srcId="{B1FE7251-DD78-43DC-9EFE-35E755B8C113}" destId="{76545084-0B49-479C-835B-7413B848C4E7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282FF94D-0899-448A-8FEE-EFE29D0481A1}" type="presOf" srcId="{EFC6E8EB-5017-42DF-B53D-6BC9750F37C4}" destId="{47172D9C-3CDF-4F63-B3B0-178F68183869}" srcOrd="0" destOrd="0" presId="urn:microsoft.com/office/officeart/2005/8/layout/gear1"/>
    <dgm:cxn modelId="{99234C33-7D20-4D8D-8BFD-0A8057F67010}" type="presOf" srcId="{3D76B524-8A76-40C1-B814-E94C8DB75581}" destId="{137BE4E3-5CDA-48F5-AF51-AD37FDB9CD12}" srcOrd="1" destOrd="0" presId="urn:microsoft.com/office/officeart/2005/8/layout/gear1"/>
    <dgm:cxn modelId="{4C1AA662-3A86-4CD3-9905-88758DC734B0}" type="presOf" srcId="{1C68C4BB-E0CE-4BD4-A250-6BB1313C8102}" destId="{92C8D4F5-79A2-46B4-ACB2-76BAF8E81BD2}" srcOrd="0" destOrd="0" presId="urn:microsoft.com/office/officeart/2005/8/layout/gear1"/>
    <dgm:cxn modelId="{0E959083-F5FF-482F-B275-1CA3DA5C06C9}" type="presParOf" srcId="{D2147CE7-55B5-4289-95EA-E48035A21E7A}" destId="{CCF3D23A-09EE-4067-A641-DD59D0533FC8}" srcOrd="0" destOrd="0" presId="urn:microsoft.com/office/officeart/2005/8/layout/gear1"/>
    <dgm:cxn modelId="{AD1F689E-42B5-4C81-B694-410CFD9A5079}" type="presParOf" srcId="{D2147CE7-55B5-4289-95EA-E48035A21E7A}" destId="{137BE4E3-5CDA-48F5-AF51-AD37FDB9CD12}" srcOrd="1" destOrd="0" presId="urn:microsoft.com/office/officeart/2005/8/layout/gear1"/>
    <dgm:cxn modelId="{D8E3FCFE-98B5-42BC-9946-1150C32CF0CB}" type="presParOf" srcId="{D2147CE7-55B5-4289-95EA-E48035A21E7A}" destId="{044497E5-8C0A-41F1-B8EF-6EE2B96D3C1D}" srcOrd="2" destOrd="0" presId="urn:microsoft.com/office/officeart/2005/8/layout/gear1"/>
    <dgm:cxn modelId="{99872FA1-D5C9-4BC5-AA37-22D8DE8525CC}" type="presParOf" srcId="{D2147CE7-55B5-4289-95EA-E48035A21E7A}" destId="{92C8D4F5-79A2-46B4-ACB2-76BAF8E81BD2}" srcOrd="3" destOrd="0" presId="urn:microsoft.com/office/officeart/2005/8/layout/gear1"/>
    <dgm:cxn modelId="{D28B8F79-9188-4904-9CB0-A8316B79A239}" type="presParOf" srcId="{D2147CE7-55B5-4289-95EA-E48035A21E7A}" destId="{700D604D-9802-4F72-9388-062E057578B0}" srcOrd="4" destOrd="0" presId="urn:microsoft.com/office/officeart/2005/8/layout/gear1"/>
    <dgm:cxn modelId="{506A2C1C-EDA9-4D3B-90D5-42A2997FB1D2}" type="presParOf" srcId="{D2147CE7-55B5-4289-95EA-E48035A21E7A}" destId="{6E4C15D3-C544-4998-AF52-23101F882761}" srcOrd="5" destOrd="0" presId="urn:microsoft.com/office/officeart/2005/8/layout/gear1"/>
    <dgm:cxn modelId="{898A9001-4351-452D-8295-C88A84AEFBBA}" type="presParOf" srcId="{D2147CE7-55B5-4289-95EA-E48035A21E7A}" destId="{76545084-0B49-479C-835B-7413B848C4E7}" srcOrd="6" destOrd="0" presId="urn:microsoft.com/office/officeart/2005/8/layout/gear1"/>
    <dgm:cxn modelId="{48FD8295-931D-43E7-9065-DB657AE1410A}" type="presParOf" srcId="{D2147CE7-55B5-4289-95EA-E48035A21E7A}" destId="{A98D2C77-AB2E-4734-BD72-0AAFCDCB3B38}" srcOrd="7" destOrd="0" presId="urn:microsoft.com/office/officeart/2005/8/layout/gear1"/>
    <dgm:cxn modelId="{FC33B0B3-9DC4-455B-A662-A8295F914EC8}" type="presParOf" srcId="{D2147CE7-55B5-4289-95EA-E48035A21E7A}" destId="{B7A8C643-326B-470C-B29A-8CDB28E398D6}" srcOrd="8" destOrd="0" presId="urn:microsoft.com/office/officeart/2005/8/layout/gear1"/>
    <dgm:cxn modelId="{74811B1A-9B91-409B-A177-B224C6E9F2DE}" type="presParOf" srcId="{D2147CE7-55B5-4289-95EA-E48035A21E7A}" destId="{3AF81862-CA10-46E9-B990-31ED7B1C337E}" srcOrd="9" destOrd="0" presId="urn:microsoft.com/office/officeart/2005/8/layout/gear1"/>
    <dgm:cxn modelId="{DCC2A7BA-DAEB-4EF9-B92D-61FF0A9A3957}" type="presParOf" srcId="{D2147CE7-55B5-4289-95EA-E48035A21E7A}" destId="{B37849E0-CEA8-488F-91B6-DCD6996B663B}" srcOrd="10" destOrd="0" presId="urn:microsoft.com/office/officeart/2005/8/layout/gear1"/>
    <dgm:cxn modelId="{699CD0B8-6194-4C7E-83F0-C178B8154AF1}" type="presParOf" srcId="{D2147CE7-55B5-4289-95EA-E48035A21E7A}" destId="{F866955C-FDD6-4476-A602-38378FC1FF65}" srcOrd="11" destOrd="0" presId="urn:microsoft.com/office/officeart/2005/8/layout/gear1"/>
    <dgm:cxn modelId="{D5AC3F58-D72B-4808-BE41-4E6DF01DB6A2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1" minVer="http://schemas.openxmlformats.org/drawingml/2006/diagram"/>
    </a:ext>
  </dgm:extLst>
</dgm:dataModel>
</file>

<file path=xl/diagrams/data1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137BE4E3-5CDA-48F5-AF51-AD37FDB9CD12}" type="pres">
      <dgm:prSet presAssocID="{3D76B524-8A76-40C1-B814-E94C8DB75581}" presName="gear1srcNode" presStyleLbl="node1" presStyleIdx="0" presStyleCnt="3"/>
      <dgm:spPr/>
      <dgm:t>
        <a:bodyPr/>
        <a:lstStyle/>
        <a:p>
          <a:endParaRPr lang="en-GB"/>
        </a:p>
      </dgm:t>
    </dgm:pt>
    <dgm:pt modelId="{044497E5-8C0A-41F1-B8EF-6EE2B96D3C1D}" type="pres">
      <dgm:prSet presAssocID="{3D76B524-8A76-40C1-B814-E94C8DB75581}" presName="gear1dstNode" presStyleLbl="node1" presStyleIdx="0" presStyleCnt="3"/>
      <dgm:spPr/>
      <dgm:t>
        <a:bodyPr/>
        <a:lstStyle/>
        <a:p>
          <a:endParaRPr lang="en-GB"/>
        </a:p>
      </dgm:t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700D604D-9802-4F72-9388-062E057578B0}" type="pres">
      <dgm:prSet presAssocID="{1C68C4BB-E0CE-4BD4-A250-6BB1313C8102}" presName="gear2srcNode" presStyleLbl="node1" presStyleIdx="1" presStyleCnt="3"/>
      <dgm:spPr/>
      <dgm:t>
        <a:bodyPr/>
        <a:lstStyle/>
        <a:p>
          <a:endParaRPr lang="en-GB"/>
        </a:p>
      </dgm:t>
    </dgm:pt>
    <dgm:pt modelId="{6E4C15D3-C544-4998-AF52-23101F882761}" type="pres">
      <dgm:prSet presAssocID="{1C68C4BB-E0CE-4BD4-A250-6BB1313C8102}" presName="gear2dstNode" presStyleLbl="node1" presStyleIdx="1" presStyleCnt="3"/>
      <dgm:spPr/>
      <dgm:t>
        <a:bodyPr/>
        <a:lstStyle/>
        <a:p>
          <a:endParaRPr lang="en-GB"/>
        </a:p>
      </dgm:t>
    </dgm:pt>
    <dgm:pt modelId="{76545084-0B49-479C-835B-7413B848C4E7}" type="pres">
      <dgm:prSet presAssocID="{B1FE7251-DD78-43DC-9EFE-35E755B8C113}" presName="gear3" presStyleLbl="node1" presStyleIdx="2" presStyleCnt="3"/>
      <dgm:spPr/>
      <dgm:t>
        <a:bodyPr/>
        <a:lstStyle/>
        <a:p>
          <a:endParaRPr lang="en-GB"/>
        </a:p>
      </dgm:t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GB"/>
        </a:p>
      </dgm:t>
    </dgm:pt>
    <dgm:pt modelId="{B7A8C643-326B-470C-B29A-8CDB28E398D6}" type="pres">
      <dgm:prSet presAssocID="{B1FE7251-DD78-43DC-9EFE-35E755B8C113}" presName="gear3srcNode" presStyleLbl="node1" presStyleIdx="2" presStyleCnt="3"/>
      <dgm:spPr/>
      <dgm:t>
        <a:bodyPr/>
        <a:lstStyle/>
        <a:p>
          <a:endParaRPr lang="en-GB"/>
        </a:p>
      </dgm:t>
    </dgm:pt>
    <dgm:pt modelId="{3AF81862-CA10-46E9-B990-31ED7B1C337E}" type="pres">
      <dgm:prSet presAssocID="{B1FE7251-DD78-43DC-9EFE-35E755B8C113}" presName="gear3dstNode" presStyleLbl="node1" presStyleIdx="2" presStyleCnt="3"/>
      <dgm:spPr/>
      <dgm:t>
        <a:bodyPr/>
        <a:lstStyle/>
        <a:p>
          <a:endParaRPr lang="en-GB"/>
        </a:p>
      </dgm:t>
    </dgm:pt>
    <dgm:pt modelId="{B37849E0-CEA8-488F-91B6-DCD6996B663B}" type="pres">
      <dgm:prSet presAssocID="{3346F7C9-2BEC-483F-AA76-59D108DC6B49}" presName="connector1" presStyleLbl="sibTrans2D1" presStyleIdx="0" presStyleCnt="3"/>
      <dgm:spPr/>
      <dgm:t>
        <a:bodyPr/>
        <a:lstStyle/>
        <a:p>
          <a:endParaRPr lang="en-GB"/>
        </a:p>
      </dgm:t>
    </dgm:pt>
    <dgm:pt modelId="{F866955C-FDD6-4476-A602-38378FC1FF65}" type="pres">
      <dgm:prSet presAssocID="{90BC29A1-EAB1-4B07-BFBE-43D30ADE786F}" presName="connector2" presStyleLbl="sibTrans2D1" presStyleIdx="1" presStyleCnt="3"/>
      <dgm:spPr/>
      <dgm:t>
        <a:bodyPr/>
        <a:lstStyle/>
        <a:p>
          <a:endParaRPr lang="en-GB"/>
        </a:p>
      </dgm:t>
    </dgm:pt>
    <dgm:pt modelId="{47172D9C-3CDF-4F63-B3B0-178F68183869}" type="pres">
      <dgm:prSet presAssocID="{EFC6E8EB-5017-42DF-B53D-6BC9750F37C4}" presName="connector3" presStyleLbl="sibTrans2D1" presStyleIdx="2" presStyleCnt="3"/>
      <dgm:spPr/>
      <dgm:t>
        <a:bodyPr/>
        <a:lstStyle/>
        <a:p>
          <a:endParaRPr lang="en-GB"/>
        </a:p>
      </dgm:t>
    </dgm:pt>
  </dgm:ptLst>
  <dgm:cxnLst>
    <dgm:cxn modelId="{E0703116-D960-4BE9-9FD9-26B568901A83}" type="presOf" srcId="{B1FE7251-DD78-43DC-9EFE-35E755B8C113}" destId="{3AF81862-CA10-46E9-B990-31ED7B1C337E}" srcOrd="3" destOrd="0" presId="urn:microsoft.com/office/officeart/2005/8/layout/gear1"/>
    <dgm:cxn modelId="{D341E6A9-4606-4FA5-8AED-FCC2A7F2DAC8}" type="presOf" srcId="{3D76B524-8A76-40C1-B814-E94C8DB75581}" destId="{CCF3D23A-09EE-4067-A641-DD59D0533FC8}" srcOrd="0" destOrd="0" presId="urn:microsoft.com/office/officeart/2005/8/layout/gear1"/>
    <dgm:cxn modelId="{6D4DDF8B-D676-466B-AFED-B76194176501}" type="presOf" srcId="{3346F7C9-2BEC-483F-AA76-59D108DC6B49}" destId="{B37849E0-CEA8-488F-91B6-DCD6996B663B}" srcOrd="0" destOrd="0" presId="urn:microsoft.com/office/officeart/2005/8/layout/gear1"/>
    <dgm:cxn modelId="{D70840FB-D847-436B-A1E0-3870A0CFFB35}" type="presOf" srcId="{1C68C4BB-E0CE-4BD4-A250-6BB1313C8102}" destId="{700D604D-9802-4F72-9388-062E057578B0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1704E972-45C7-4EF9-8632-1A4F099EFBA1}" type="presOf" srcId="{B1FE7251-DD78-43DC-9EFE-35E755B8C113}" destId="{B7A8C643-326B-470C-B29A-8CDB28E398D6}" srcOrd="2" destOrd="0" presId="urn:microsoft.com/office/officeart/2005/8/layout/gear1"/>
    <dgm:cxn modelId="{1C9A9E35-1617-48FC-A6F5-D3DC17FFE35A}" type="presOf" srcId="{EFC6E8EB-5017-42DF-B53D-6BC9750F37C4}" destId="{47172D9C-3CDF-4F63-B3B0-178F68183869}" srcOrd="0" destOrd="0" presId="urn:microsoft.com/office/officeart/2005/8/layout/gear1"/>
    <dgm:cxn modelId="{82EF6E26-B445-4291-AAB8-776CB19D4492}" type="presOf" srcId="{B1FE7251-DD78-43DC-9EFE-35E755B8C113}" destId="{A98D2C77-AB2E-4734-BD72-0AAFCDCB3B38}" srcOrd="1" destOrd="0" presId="urn:microsoft.com/office/officeart/2005/8/layout/gear1"/>
    <dgm:cxn modelId="{EB528E55-BDAF-4904-B813-BC2BBD9C8FBF}" type="presOf" srcId="{3D76B524-8A76-40C1-B814-E94C8DB75581}" destId="{137BE4E3-5CDA-48F5-AF51-AD37FDB9CD12}" srcOrd="1" destOrd="0" presId="urn:microsoft.com/office/officeart/2005/8/layout/gear1"/>
    <dgm:cxn modelId="{73A5609A-9F82-4D09-87FC-E58945430794}" type="presOf" srcId="{20027F76-6EF2-4DD8-BE41-A475A2100245}" destId="{D2147CE7-55B5-4289-95EA-E48035A21E7A}" srcOrd="0" destOrd="0" presId="urn:microsoft.com/office/officeart/2005/8/layout/gear1"/>
    <dgm:cxn modelId="{5F9287E1-BE29-424E-BA23-A1C8CACF818C}" type="presOf" srcId="{1C68C4BB-E0CE-4BD4-A250-6BB1313C8102}" destId="{92C8D4F5-79A2-46B4-ACB2-76BAF8E81BD2}" srcOrd="0" destOrd="0" presId="urn:microsoft.com/office/officeart/2005/8/layout/gear1"/>
    <dgm:cxn modelId="{EF1BEB08-DF29-4E41-9137-E234E054BB05}" type="presOf" srcId="{3D76B524-8A76-40C1-B814-E94C8DB75581}" destId="{044497E5-8C0A-41F1-B8EF-6EE2B96D3C1D}" srcOrd="2" destOrd="0" presId="urn:microsoft.com/office/officeart/2005/8/layout/gear1"/>
    <dgm:cxn modelId="{BF109F8A-28D4-4C93-A503-A6023270176F}" type="presOf" srcId="{1C68C4BB-E0CE-4BD4-A250-6BB1313C8102}" destId="{6E4C15D3-C544-4998-AF52-23101F882761}" srcOrd="2" destOrd="0" presId="urn:microsoft.com/office/officeart/2005/8/layout/gear1"/>
    <dgm:cxn modelId="{F9F01903-BE2A-4FFA-9D07-C58F0354A0F1}" type="presOf" srcId="{B1FE7251-DD78-43DC-9EFE-35E755B8C113}" destId="{76545084-0B49-479C-835B-7413B848C4E7}" srcOrd="0" destOrd="0" presId="urn:microsoft.com/office/officeart/2005/8/layout/gear1"/>
    <dgm:cxn modelId="{EC88D0D7-D59F-4465-9329-A94B5BC9F115}" type="presOf" srcId="{90BC29A1-EAB1-4B07-BFBE-43D30ADE786F}" destId="{F866955C-FDD6-4476-A602-38378FC1FF65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B3BC4782-4CC0-4477-AA97-8AD3EF6A28D0}" type="presParOf" srcId="{D2147CE7-55B5-4289-95EA-E48035A21E7A}" destId="{CCF3D23A-09EE-4067-A641-DD59D0533FC8}" srcOrd="0" destOrd="0" presId="urn:microsoft.com/office/officeart/2005/8/layout/gear1"/>
    <dgm:cxn modelId="{9A6409B6-1895-400E-A0D4-22A24A95440C}" type="presParOf" srcId="{D2147CE7-55B5-4289-95EA-E48035A21E7A}" destId="{137BE4E3-5CDA-48F5-AF51-AD37FDB9CD12}" srcOrd="1" destOrd="0" presId="urn:microsoft.com/office/officeart/2005/8/layout/gear1"/>
    <dgm:cxn modelId="{86520CA2-37A0-4499-BF3E-AE3DB18BBB81}" type="presParOf" srcId="{D2147CE7-55B5-4289-95EA-E48035A21E7A}" destId="{044497E5-8C0A-41F1-B8EF-6EE2B96D3C1D}" srcOrd="2" destOrd="0" presId="urn:microsoft.com/office/officeart/2005/8/layout/gear1"/>
    <dgm:cxn modelId="{DC32C56D-E956-49FE-9E8A-F8B260051210}" type="presParOf" srcId="{D2147CE7-55B5-4289-95EA-E48035A21E7A}" destId="{92C8D4F5-79A2-46B4-ACB2-76BAF8E81BD2}" srcOrd="3" destOrd="0" presId="urn:microsoft.com/office/officeart/2005/8/layout/gear1"/>
    <dgm:cxn modelId="{7A96EE38-17D6-472E-92DF-33F097DE5ED9}" type="presParOf" srcId="{D2147CE7-55B5-4289-95EA-E48035A21E7A}" destId="{700D604D-9802-4F72-9388-062E057578B0}" srcOrd="4" destOrd="0" presId="urn:microsoft.com/office/officeart/2005/8/layout/gear1"/>
    <dgm:cxn modelId="{F0470DD9-989B-4296-995A-38F2D73AF544}" type="presParOf" srcId="{D2147CE7-55B5-4289-95EA-E48035A21E7A}" destId="{6E4C15D3-C544-4998-AF52-23101F882761}" srcOrd="5" destOrd="0" presId="urn:microsoft.com/office/officeart/2005/8/layout/gear1"/>
    <dgm:cxn modelId="{009D13DB-9B56-45B7-8255-E2D18D89BD82}" type="presParOf" srcId="{D2147CE7-55B5-4289-95EA-E48035A21E7A}" destId="{76545084-0B49-479C-835B-7413B848C4E7}" srcOrd="6" destOrd="0" presId="urn:microsoft.com/office/officeart/2005/8/layout/gear1"/>
    <dgm:cxn modelId="{A69BC79E-C445-40FD-B32E-56E33B51FCC6}" type="presParOf" srcId="{D2147CE7-55B5-4289-95EA-E48035A21E7A}" destId="{A98D2C77-AB2E-4734-BD72-0AAFCDCB3B38}" srcOrd="7" destOrd="0" presId="urn:microsoft.com/office/officeart/2005/8/layout/gear1"/>
    <dgm:cxn modelId="{B9ECB6CF-F7E9-440D-AE26-BA7233C279EB}" type="presParOf" srcId="{D2147CE7-55B5-4289-95EA-E48035A21E7A}" destId="{B7A8C643-326B-470C-B29A-8CDB28E398D6}" srcOrd="8" destOrd="0" presId="urn:microsoft.com/office/officeart/2005/8/layout/gear1"/>
    <dgm:cxn modelId="{E2633F2F-9C8D-4F2B-B710-1F71D948E4BA}" type="presParOf" srcId="{D2147CE7-55B5-4289-95EA-E48035A21E7A}" destId="{3AF81862-CA10-46E9-B990-31ED7B1C337E}" srcOrd="9" destOrd="0" presId="urn:microsoft.com/office/officeart/2005/8/layout/gear1"/>
    <dgm:cxn modelId="{F4815391-AC2E-4F51-B2EE-70F66F12ADB1}" type="presParOf" srcId="{D2147CE7-55B5-4289-95EA-E48035A21E7A}" destId="{B37849E0-CEA8-488F-91B6-DCD6996B663B}" srcOrd="10" destOrd="0" presId="urn:microsoft.com/office/officeart/2005/8/layout/gear1"/>
    <dgm:cxn modelId="{E6C58A6D-9BD0-4E19-9A43-27625E10038F}" type="presParOf" srcId="{D2147CE7-55B5-4289-95EA-E48035A21E7A}" destId="{F866955C-FDD6-4476-A602-38378FC1FF65}" srcOrd="11" destOrd="0" presId="urn:microsoft.com/office/officeart/2005/8/layout/gear1"/>
    <dgm:cxn modelId="{4D64EA27-CD62-418D-B19D-C58907AE59D5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xmlns="" relId="rId1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2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3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4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5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6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</dsp:spTree>
</dsp:drawing>
</file>

<file path=xl/diagrams/drawing7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4606" y="496505"/>
          <a:ext cx="592296" cy="592296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Person Centered</a:t>
          </a:r>
        </a:p>
      </dsp:txBody>
      <dsp:txXfrm>
        <a:off x="484606" y="496505"/>
        <a:ext cx="592296" cy="592296"/>
      </dsp:txXfrm>
    </dsp:sp>
    <dsp:sp modelId="{92C8D4F5-79A2-46B4-ACB2-76BAF8E81BD2}">
      <dsp:nvSpPr>
        <dsp:cNvPr id="0" name=""/>
        <dsp:cNvSpPr/>
      </dsp:nvSpPr>
      <dsp:spPr>
        <a:xfrm>
          <a:off x="157227" y="373738"/>
          <a:ext cx="430761" cy="430761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Flow</a:t>
          </a:r>
        </a:p>
      </dsp:txBody>
      <dsp:txXfrm>
        <a:off x="157227" y="373738"/>
        <a:ext cx="430761" cy="430761"/>
      </dsp:txXfrm>
    </dsp:sp>
    <dsp:sp modelId="{76545084-0B49-479C-835B-7413B848C4E7}">
      <dsp:nvSpPr>
        <dsp:cNvPr id="0" name=""/>
        <dsp:cNvSpPr/>
      </dsp:nvSpPr>
      <dsp:spPr>
        <a:xfrm rot="20700000">
          <a:off x="381267" y="59327"/>
          <a:ext cx="422058" cy="422058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Safety</a:t>
          </a:r>
        </a:p>
      </dsp:txBody>
      <dsp:txXfrm>
        <a:off x="473837" y="151896"/>
        <a:ext cx="236918" cy="236918"/>
      </dsp:txXfrm>
    </dsp:sp>
    <dsp:sp modelId="{B37849E0-CEA8-488F-91B6-DCD6996B663B}">
      <dsp:nvSpPr>
        <dsp:cNvPr id="0" name=""/>
        <dsp:cNvSpPr/>
      </dsp:nvSpPr>
      <dsp:spPr>
        <a:xfrm>
          <a:off x="411203" y="421507"/>
          <a:ext cx="758139" cy="758139"/>
        </a:xfrm>
        <a:prstGeom prst="circularArrow">
          <a:avLst>
            <a:gd name="adj1" fmla="val 4687"/>
            <a:gd name="adj2" fmla="val 299029"/>
            <a:gd name="adj3" fmla="val 2310231"/>
            <a:gd name="adj4" fmla="val 16413090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710" y="274575"/>
          <a:ext cx="550835" cy="550835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641" y="-19740"/>
          <a:ext cx="593912" cy="593912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8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4606" y="496505"/>
          <a:ext cx="592296" cy="592296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Person Centered</a:t>
          </a:r>
        </a:p>
      </dsp:txBody>
      <dsp:txXfrm>
        <a:off x="484606" y="496505"/>
        <a:ext cx="592296" cy="592296"/>
      </dsp:txXfrm>
    </dsp:sp>
    <dsp:sp modelId="{92C8D4F5-79A2-46B4-ACB2-76BAF8E81BD2}">
      <dsp:nvSpPr>
        <dsp:cNvPr id="0" name=""/>
        <dsp:cNvSpPr/>
      </dsp:nvSpPr>
      <dsp:spPr>
        <a:xfrm>
          <a:off x="157227" y="373738"/>
          <a:ext cx="430761" cy="430761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Flow</a:t>
          </a:r>
        </a:p>
      </dsp:txBody>
      <dsp:txXfrm>
        <a:off x="157227" y="373738"/>
        <a:ext cx="430761" cy="430761"/>
      </dsp:txXfrm>
    </dsp:sp>
    <dsp:sp modelId="{76545084-0B49-479C-835B-7413B848C4E7}">
      <dsp:nvSpPr>
        <dsp:cNvPr id="0" name=""/>
        <dsp:cNvSpPr/>
      </dsp:nvSpPr>
      <dsp:spPr>
        <a:xfrm rot="20700000">
          <a:off x="381267" y="59327"/>
          <a:ext cx="422058" cy="422058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Safety</a:t>
          </a:r>
        </a:p>
      </dsp:txBody>
      <dsp:txXfrm>
        <a:off x="473837" y="151896"/>
        <a:ext cx="236918" cy="236918"/>
      </dsp:txXfrm>
    </dsp:sp>
    <dsp:sp modelId="{B37849E0-CEA8-488F-91B6-DCD6996B663B}">
      <dsp:nvSpPr>
        <dsp:cNvPr id="0" name=""/>
        <dsp:cNvSpPr/>
      </dsp:nvSpPr>
      <dsp:spPr>
        <a:xfrm>
          <a:off x="411203" y="421507"/>
          <a:ext cx="758139" cy="758139"/>
        </a:xfrm>
        <a:prstGeom prst="circularArrow">
          <a:avLst>
            <a:gd name="adj1" fmla="val 4687"/>
            <a:gd name="adj2" fmla="val 299029"/>
            <a:gd name="adj3" fmla="val 2310231"/>
            <a:gd name="adj4" fmla="val 16413090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710" y="274575"/>
          <a:ext cx="550835" cy="550835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641" y="-19740"/>
          <a:ext cx="593912" cy="593912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9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4606" y="496505"/>
          <a:ext cx="592296" cy="592296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Person Centered</a:t>
          </a:r>
        </a:p>
      </dsp:txBody>
      <dsp:txXfrm>
        <a:off x="484606" y="496505"/>
        <a:ext cx="592296" cy="592296"/>
      </dsp:txXfrm>
    </dsp:sp>
    <dsp:sp modelId="{92C8D4F5-79A2-46B4-ACB2-76BAF8E81BD2}">
      <dsp:nvSpPr>
        <dsp:cNvPr id="0" name=""/>
        <dsp:cNvSpPr/>
      </dsp:nvSpPr>
      <dsp:spPr>
        <a:xfrm>
          <a:off x="157227" y="373738"/>
          <a:ext cx="430761" cy="430761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Flow</a:t>
          </a:r>
        </a:p>
      </dsp:txBody>
      <dsp:txXfrm>
        <a:off x="157227" y="373738"/>
        <a:ext cx="430761" cy="430761"/>
      </dsp:txXfrm>
    </dsp:sp>
    <dsp:sp modelId="{76545084-0B49-479C-835B-7413B848C4E7}">
      <dsp:nvSpPr>
        <dsp:cNvPr id="0" name=""/>
        <dsp:cNvSpPr/>
      </dsp:nvSpPr>
      <dsp:spPr>
        <a:xfrm rot="20700000">
          <a:off x="381267" y="59327"/>
          <a:ext cx="422058" cy="422058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Safety</a:t>
          </a:r>
        </a:p>
      </dsp:txBody>
      <dsp:txXfrm>
        <a:off x="473837" y="151896"/>
        <a:ext cx="236918" cy="236918"/>
      </dsp:txXfrm>
    </dsp:sp>
    <dsp:sp modelId="{B37849E0-CEA8-488F-91B6-DCD6996B663B}">
      <dsp:nvSpPr>
        <dsp:cNvPr id="0" name=""/>
        <dsp:cNvSpPr/>
      </dsp:nvSpPr>
      <dsp:spPr>
        <a:xfrm>
          <a:off x="411203" y="421507"/>
          <a:ext cx="758139" cy="758139"/>
        </a:xfrm>
        <a:prstGeom prst="circularArrow">
          <a:avLst>
            <a:gd name="adj1" fmla="val 4687"/>
            <a:gd name="adj2" fmla="val 299029"/>
            <a:gd name="adj3" fmla="val 2310231"/>
            <a:gd name="adj4" fmla="val 16413090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710" y="274575"/>
          <a:ext cx="550835" cy="550835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641" y="-19740"/>
          <a:ext cx="593912" cy="593912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10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4606" y="496505"/>
          <a:ext cx="592296" cy="592296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Person Centered</a:t>
          </a:r>
        </a:p>
      </dsp:txBody>
      <dsp:txXfrm>
        <a:off x="484606" y="496505"/>
        <a:ext cx="592296" cy="592296"/>
      </dsp:txXfrm>
    </dsp:sp>
    <dsp:sp modelId="{92C8D4F5-79A2-46B4-ACB2-76BAF8E81BD2}">
      <dsp:nvSpPr>
        <dsp:cNvPr id="0" name=""/>
        <dsp:cNvSpPr/>
      </dsp:nvSpPr>
      <dsp:spPr>
        <a:xfrm>
          <a:off x="157227" y="373738"/>
          <a:ext cx="430761" cy="430761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Flow</a:t>
          </a:r>
        </a:p>
      </dsp:txBody>
      <dsp:txXfrm>
        <a:off x="157227" y="373738"/>
        <a:ext cx="430761" cy="430761"/>
      </dsp:txXfrm>
    </dsp:sp>
    <dsp:sp modelId="{76545084-0B49-479C-835B-7413B848C4E7}">
      <dsp:nvSpPr>
        <dsp:cNvPr id="0" name=""/>
        <dsp:cNvSpPr/>
      </dsp:nvSpPr>
      <dsp:spPr>
        <a:xfrm rot="20700000">
          <a:off x="381267" y="59327"/>
          <a:ext cx="422058" cy="422058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Safety</a:t>
          </a:r>
        </a:p>
      </dsp:txBody>
      <dsp:txXfrm>
        <a:off x="473837" y="151896"/>
        <a:ext cx="236918" cy="236918"/>
      </dsp:txXfrm>
    </dsp:sp>
    <dsp:sp modelId="{B37849E0-CEA8-488F-91B6-DCD6996B663B}">
      <dsp:nvSpPr>
        <dsp:cNvPr id="0" name=""/>
        <dsp:cNvSpPr/>
      </dsp:nvSpPr>
      <dsp:spPr>
        <a:xfrm>
          <a:off x="411203" y="421507"/>
          <a:ext cx="758139" cy="758139"/>
        </a:xfrm>
        <a:prstGeom prst="circularArrow">
          <a:avLst>
            <a:gd name="adj1" fmla="val 4687"/>
            <a:gd name="adj2" fmla="val 299029"/>
            <a:gd name="adj3" fmla="val 2310231"/>
            <a:gd name="adj4" fmla="val 16413090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710" y="274575"/>
          <a:ext cx="550835" cy="550835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641" y="-19740"/>
          <a:ext cx="593912" cy="593912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11.xml><?xml version="1.0" encoding="utf-8"?>
<dsp:drawing xmlns:dgm="http://schemas.openxmlformats.org/drawingml/2006/diagram" xmlns:a="http://schemas.openxmlformats.org/drawingml/2006/main" xmlns:dsp="http://schemas.microsoft.com/office/drawing/2008/diagram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484606" y="496505"/>
          <a:ext cx="592296" cy="592296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Person Centered</a:t>
          </a:r>
        </a:p>
      </dsp:txBody>
      <dsp:txXfrm>
        <a:off x="484606" y="496505"/>
        <a:ext cx="592296" cy="592296"/>
      </dsp:txXfrm>
    </dsp:sp>
    <dsp:sp modelId="{92C8D4F5-79A2-46B4-ACB2-76BAF8E81BD2}">
      <dsp:nvSpPr>
        <dsp:cNvPr id="0" name=""/>
        <dsp:cNvSpPr/>
      </dsp:nvSpPr>
      <dsp:spPr>
        <a:xfrm>
          <a:off x="157227" y="373738"/>
          <a:ext cx="430761" cy="430761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Flow</a:t>
          </a:r>
        </a:p>
      </dsp:txBody>
      <dsp:txXfrm>
        <a:off x="157227" y="373738"/>
        <a:ext cx="430761" cy="430761"/>
      </dsp:txXfrm>
    </dsp:sp>
    <dsp:sp modelId="{76545084-0B49-479C-835B-7413B848C4E7}">
      <dsp:nvSpPr>
        <dsp:cNvPr id="0" name=""/>
        <dsp:cNvSpPr/>
      </dsp:nvSpPr>
      <dsp:spPr>
        <a:xfrm rot="20700000">
          <a:off x="381267" y="59327"/>
          <a:ext cx="422058" cy="422058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lvl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GB" sz="600" kern="1200"/>
            <a:t>Safety</a:t>
          </a:r>
        </a:p>
      </dsp:txBody>
      <dsp:txXfrm>
        <a:off x="473837" y="151896"/>
        <a:ext cx="236918" cy="236918"/>
      </dsp:txXfrm>
    </dsp:sp>
    <dsp:sp modelId="{B37849E0-CEA8-488F-91B6-DCD6996B663B}">
      <dsp:nvSpPr>
        <dsp:cNvPr id="0" name=""/>
        <dsp:cNvSpPr/>
      </dsp:nvSpPr>
      <dsp:spPr>
        <a:xfrm>
          <a:off x="411203" y="421507"/>
          <a:ext cx="758139" cy="758139"/>
        </a:xfrm>
        <a:prstGeom prst="circularArrow">
          <a:avLst>
            <a:gd name="adj1" fmla="val 4687"/>
            <a:gd name="adj2" fmla="val 299029"/>
            <a:gd name="adj3" fmla="val 2310231"/>
            <a:gd name="adj4" fmla="val 16413090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63710" y="274575"/>
          <a:ext cx="550835" cy="550835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283641" y="-19740"/>
          <a:ext cx="593912" cy="593912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1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3.xml"/><Relationship Id="rId13" Type="http://schemas.openxmlformats.org/officeDocument/2006/relationships/diagramLayout" Target="../diagrams/layout4.xml"/><Relationship Id="rId3" Type="http://schemas.openxmlformats.org/officeDocument/2006/relationships/diagramLayout" Target="../diagrams/layout2.xml"/><Relationship Id="rId7" Type="http://schemas.openxmlformats.org/officeDocument/2006/relationships/diagramData" Target="../diagrams/data3.xml"/><Relationship Id="rId12" Type="http://schemas.openxmlformats.org/officeDocument/2006/relationships/diagramData" Target="../diagrams/data4.xml"/><Relationship Id="rId2" Type="http://schemas.openxmlformats.org/officeDocument/2006/relationships/diagramData" Target="../diagrams/data2.xml"/><Relationship Id="rId16" Type="http://schemas.microsoft.com/office/2007/relationships/diagramDrawing" Target="../diagrams/drawing4.xml"/><Relationship Id="rId1" Type="http://schemas.openxmlformats.org/officeDocument/2006/relationships/image" Target="../media/image1.png"/><Relationship Id="rId6" Type="http://schemas.microsoft.com/office/2007/relationships/diagramDrawing" Target="../diagrams/drawing2.xml"/><Relationship Id="rId11" Type="http://schemas.microsoft.com/office/2007/relationships/diagramDrawing" Target="../diagrams/drawing3.xml"/><Relationship Id="rId5" Type="http://schemas.openxmlformats.org/officeDocument/2006/relationships/diagramColors" Target="../diagrams/colors2.xml"/><Relationship Id="rId15" Type="http://schemas.openxmlformats.org/officeDocument/2006/relationships/diagramColors" Target="../diagrams/colors4.xml"/><Relationship Id="rId10" Type="http://schemas.openxmlformats.org/officeDocument/2006/relationships/diagramColors" Target="../diagrams/colors3.xml"/><Relationship Id="rId4" Type="http://schemas.openxmlformats.org/officeDocument/2006/relationships/diagramQuickStyle" Target="../diagrams/quickStyle2.xml"/><Relationship Id="rId9" Type="http://schemas.openxmlformats.org/officeDocument/2006/relationships/diagramQuickStyle" Target="../diagrams/quickStyle3.xml"/><Relationship Id="rId14" Type="http://schemas.openxmlformats.org/officeDocument/2006/relationships/diagramQuickStyle" Target="../diagrams/quickStyle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6.xml"/><Relationship Id="rId3" Type="http://schemas.openxmlformats.org/officeDocument/2006/relationships/diagramLayout" Target="../diagrams/layout5.xml"/><Relationship Id="rId7" Type="http://schemas.openxmlformats.org/officeDocument/2006/relationships/diagramData" Target="../diagrams/data6.xml"/><Relationship Id="rId2" Type="http://schemas.openxmlformats.org/officeDocument/2006/relationships/diagramData" Target="../diagrams/data5.xml"/><Relationship Id="rId1" Type="http://schemas.openxmlformats.org/officeDocument/2006/relationships/image" Target="../media/image1.png"/><Relationship Id="rId6" Type="http://schemas.microsoft.com/office/2007/relationships/diagramDrawing" Target="../diagrams/drawing5.xml"/><Relationship Id="rId11" Type="http://schemas.microsoft.com/office/2007/relationships/diagramDrawing" Target="../diagrams/drawing6.xml"/><Relationship Id="rId5" Type="http://schemas.openxmlformats.org/officeDocument/2006/relationships/diagramColors" Target="../diagrams/colors5.xml"/><Relationship Id="rId10" Type="http://schemas.openxmlformats.org/officeDocument/2006/relationships/diagramColors" Target="../diagrams/colors6.xml"/><Relationship Id="rId4" Type="http://schemas.openxmlformats.org/officeDocument/2006/relationships/diagramQuickStyle" Target="../diagrams/quickStyle5.xml"/><Relationship Id="rId9" Type="http://schemas.openxmlformats.org/officeDocument/2006/relationships/diagramQuickStyle" Target="../diagrams/quickStyle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8.xml"/><Relationship Id="rId3" Type="http://schemas.openxmlformats.org/officeDocument/2006/relationships/diagramLayout" Target="../diagrams/layout7.xml"/><Relationship Id="rId7" Type="http://schemas.openxmlformats.org/officeDocument/2006/relationships/diagramData" Target="../diagrams/data8.xml"/><Relationship Id="rId2" Type="http://schemas.openxmlformats.org/officeDocument/2006/relationships/diagramData" Target="../diagrams/data7.xml"/><Relationship Id="rId1" Type="http://schemas.openxmlformats.org/officeDocument/2006/relationships/image" Target="../media/image1.png"/><Relationship Id="rId6" Type="http://schemas.microsoft.com/office/2007/relationships/diagramDrawing" Target="../diagrams/drawing7.xml"/><Relationship Id="rId11" Type="http://schemas.microsoft.com/office/2007/relationships/diagramDrawing" Target="../diagrams/drawing8.xml"/><Relationship Id="rId5" Type="http://schemas.openxmlformats.org/officeDocument/2006/relationships/diagramColors" Target="../diagrams/colors7.xml"/><Relationship Id="rId10" Type="http://schemas.openxmlformats.org/officeDocument/2006/relationships/diagramColors" Target="../diagrams/colors8.xml"/><Relationship Id="rId4" Type="http://schemas.openxmlformats.org/officeDocument/2006/relationships/diagramQuickStyle" Target="../diagrams/quickStyle7.xml"/><Relationship Id="rId9" Type="http://schemas.openxmlformats.org/officeDocument/2006/relationships/diagramQuickStyle" Target="../diagrams/quickStyle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0.xml"/><Relationship Id="rId13" Type="http://schemas.openxmlformats.org/officeDocument/2006/relationships/diagramLayout" Target="../diagrams/layout11.xml"/><Relationship Id="rId3" Type="http://schemas.openxmlformats.org/officeDocument/2006/relationships/diagramLayout" Target="../diagrams/layout9.xml"/><Relationship Id="rId7" Type="http://schemas.openxmlformats.org/officeDocument/2006/relationships/diagramData" Target="../diagrams/data10.xml"/><Relationship Id="rId12" Type="http://schemas.openxmlformats.org/officeDocument/2006/relationships/diagramData" Target="../diagrams/data11.xml"/><Relationship Id="rId2" Type="http://schemas.openxmlformats.org/officeDocument/2006/relationships/diagramData" Target="../diagrams/data9.xml"/><Relationship Id="rId16" Type="http://schemas.microsoft.com/office/2007/relationships/diagramDrawing" Target="../diagrams/drawing11.xml"/><Relationship Id="rId1" Type="http://schemas.openxmlformats.org/officeDocument/2006/relationships/image" Target="../media/image1.png"/><Relationship Id="rId6" Type="http://schemas.microsoft.com/office/2007/relationships/diagramDrawing" Target="../diagrams/drawing9.xml"/><Relationship Id="rId11" Type="http://schemas.microsoft.com/office/2007/relationships/diagramDrawing" Target="../diagrams/drawing10.xml"/><Relationship Id="rId5" Type="http://schemas.openxmlformats.org/officeDocument/2006/relationships/diagramColors" Target="../diagrams/colors9.xml"/><Relationship Id="rId15" Type="http://schemas.openxmlformats.org/officeDocument/2006/relationships/diagramColors" Target="../diagrams/colors11.xml"/><Relationship Id="rId10" Type="http://schemas.openxmlformats.org/officeDocument/2006/relationships/diagramColors" Target="../diagrams/colors10.xml"/><Relationship Id="rId4" Type="http://schemas.openxmlformats.org/officeDocument/2006/relationships/diagramQuickStyle" Target="../diagrams/quickStyle9.xml"/><Relationship Id="rId9" Type="http://schemas.openxmlformats.org/officeDocument/2006/relationships/diagramQuickStyle" Target="../diagrams/quickStyle10.xml"/><Relationship Id="rId14" Type="http://schemas.openxmlformats.org/officeDocument/2006/relationships/diagramQuickStyle" Target="../diagrams/quickStyle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09848" y="177386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7" name="Diagram 6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2" r:lo="rId13" r:qs="rId14" r:cs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47903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5" name="Diagram 4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  <xdr:twoCellAnchor editAs="oneCell">
    <xdr:from>
      <xdr:col>15</xdr:col>
      <xdr:colOff>98978</xdr:colOff>
      <xdr:row>1</xdr:row>
      <xdr:rowOff>11734</xdr:rowOff>
    </xdr:from>
    <xdr:to>
      <xdr:col>15</xdr:col>
      <xdr:colOff>677469</xdr:colOff>
      <xdr:row>1</xdr:row>
      <xdr:rowOff>439697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05078" y="173659"/>
          <a:ext cx="578491" cy="42796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513658</xdr:colOff>
      <xdr:row>0</xdr:row>
      <xdr:rowOff>118994</xdr:rowOff>
    </xdr:from>
    <xdr:to>
      <xdr:col>17</xdr:col>
      <xdr:colOff>55355</xdr:colOff>
      <xdr:row>4</xdr:row>
      <xdr:rowOff>166343</xdr:rowOff>
    </xdr:to>
    <xdr:graphicFrame macro="">
      <xdr:nvGraphicFramePr>
        <xdr:cNvPr id="7" name="Diagram 6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2" r:lo="rId13" r:qs="rId14" r:cs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W19"/>
  <sheetViews>
    <sheetView topLeftCell="H1" zoomScale="85" zoomScaleNormal="85" workbookViewId="0">
      <selection activeCell="L6" sqref="L6:O8"/>
    </sheetView>
  </sheetViews>
  <sheetFormatPr defaultColWidth="9.140625" defaultRowHeight="12.75"/>
  <cols>
    <col min="1" max="1" width="3.140625" style="68" hidden="1" customWidth="1"/>
    <col min="2" max="2" width="13.28515625" style="68" hidden="1" customWidth="1"/>
    <col min="3" max="3" width="12.5703125" style="68" hidden="1" customWidth="1"/>
    <col min="4" max="4" width="11.5703125" style="68" hidden="1" customWidth="1"/>
    <col min="5" max="5" width="10.42578125" style="68" hidden="1" customWidth="1"/>
    <col min="6" max="6" width="11.42578125" style="68" hidden="1" customWidth="1"/>
    <col min="7" max="7" width="0" style="68" hidden="1" customWidth="1"/>
    <col min="8" max="8" width="11.7109375" style="68" customWidth="1"/>
    <col min="9" max="9" width="9.140625" style="68"/>
    <col min="10" max="10" width="11" style="68" customWidth="1"/>
    <col min="11" max="22" width="9.140625" style="68"/>
    <col min="23" max="23" width="43.140625" style="68" customWidth="1"/>
    <col min="24" max="16384" width="9.140625" style="68"/>
  </cols>
  <sheetData>
    <row r="1" spans="2:23" s="69" customFormat="1" ht="16.5" thickBot="1">
      <c r="B1" s="259" t="s">
        <v>89</v>
      </c>
      <c r="C1" s="292"/>
      <c r="D1" s="292"/>
      <c r="E1" s="292"/>
      <c r="F1" s="293"/>
      <c r="G1" s="294"/>
      <c r="H1" s="259" t="s">
        <v>113</v>
      </c>
      <c r="I1" s="260"/>
      <c r="J1" s="260"/>
      <c r="K1" s="260"/>
      <c r="L1" s="260"/>
      <c r="M1" s="260"/>
      <c r="N1" s="261"/>
      <c r="O1" s="262"/>
      <c r="P1" s="208" t="s">
        <v>118</v>
      </c>
      <c r="Q1" s="209"/>
      <c r="R1" s="209"/>
      <c r="S1" s="209"/>
      <c r="T1" s="209"/>
      <c r="U1" s="209"/>
      <c r="V1" s="209"/>
      <c r="W1" s="210"/>
    </row>
    <row r="2" spans="2:23" ht="41.25" customHeight="1" thickBot="1">
      <c r="B2" s="70" t="s">
        <v>87</v>
      </c>
      <c r="C2" s="71" t="e">
        <f>#REF!</f>
        <v>#REF!</v>
      </c>
      <c r="D2" s="72" t="s">
        <v>10</v>
      </c>
      <c r="E2" s="73" t="e">
        <f>#REF!</f>
        <v>#REF!</v>
      </c>
      <c r="F2" s="74"/>
      <c r="G2" s="75"/>
      <c r="H2" s="263" t="s">
        <v>114</v>
      </c>
      <c r="I2" s="264"/>
      <c r="J2" s="264"/>
      <c r="K2" s="264"/>
      <c r="L2" s="267" t="s">
        <v>179</v>
      </c>
      <c r="M2" s="267"/>
      <c r="N2" s="267"/>
      <c r="O2" s="268"/>
      <c r="P2" s="211"/>
      <c r="Q2" s="212"/>
      <c r="R2" s="212"/>
      <c r="S2" s="212"/>
      <c r="T2" s="212"/>
      <c r="U2" s="212"/>
      <c r="V2" s="212"/>
      <c r="W2" s="213"/>
    </row>
    <row r="3" spans="2:23" ht="16.5" thickBot="1">
      <c r="B3" s="269" t="s">
        <v>88</v>
      </c>
      <c r="C3" s="287"/>
      <c r="D3" s="287"/>
      <c r="E3" s="287"/>
      <c r="F3" s="287"/>
      <c r="G3" s="288"/>
      <c r="H3" s="265"/>
      <c r="I3" s="266"/>
      <c r="J3" s="266"/>
      <c r="K3" s="266"/>
      <c r="L3" s="193"/>
      <c r="M3" s="193"/>
      <c r="N3" s="193"/>
      <c r="O3" s="194"/>
      <c r="P3" s="214" t="s">
        <v>117</v>
      </c>
      <c r="Q3" s="215"/>
      <c r="R3" s="215"/>
      <c r="S3" s="215"/>
      <c r="T3" s="235" t="s">
        <v>181</v>
      </c>
      <c r="U3" s="236"/>
      <c r="V3" s="236"/>
      <c r="W3" s="237"/>
    </row>
    <row r="4" spans="2:23" ht="51" customHeight="1">
      <c r="B4" s="76" t="s">
        <v>90</v>
      </c>
      <c r="C4" s="77" t="e">
        <f>#REF!</f>
        <v>#REF!</v>
      </c>
      <c r="D4" s="78" t="s">
        <v>92</v>
      </c>
      <c r="E4" s="77" t="e">
        <f>#REF!</f>
        <v>#REF!</v>
      </c>
      <c r="F4" s="78" t="s">
        <v>94</v>
      </c>
      <c r="G4" s="79" t="e">
        <f>#REF!</f>
        <v>#REF!</v>
      </c>
      <c r="H4" s="265"/>
      <c r="I4" s="266"/>
      <c r="J4" s="266"/>
      <c r="K4" s="266"/>
      <c r="L4" s="193"/>
      <c r="M4" s="193"/>
      <c r="N4" s="193"/>
      <c r="O4" s="194"/>
      <c r="P4" s="216"/>
      <c r="Q4" s="217"/>
      <c r="R4" s="217"/>
      <c r="S4" s="217"/>
      <c r="T4" s="241"/>
      <c r="U4" s="242"/>
      <c r="V4" s="242"/>
      <c r="W4" s="243"/>
    </row>
    <row r="5" spans="2:23" ht="51" customHeight="1" thickBot="1">
      <c r="B5" s="80" t="s">
        <v>91</v>
      </c>
      <c r="C5" s="81" t="e">
        <f>#REF!</f>
        <v>#REF!</v>
      </c>
      <c r="D5" s="82" t="s">
        <v>93</v>
      </c>
      <c r="E5" s="81" t="e">
        <f>#REF!</f>
        <v>#REF!</v>
      </c>
      <c r="F5" s="82" t="s">
        <v>95</v>
      </c>
      <c r="G5" s="83" t="e">
        <f>#REF!</f>
        <v>#REF!</v>
      </c>
      <c r="H5" s="265" t="s">
        <v>124</v>
      </c>
      <c r="I5" s="266"/>
      <c r="J5" s="266"/>
      <c r="K5" s="266"/>
      <c r="L5" s="193" t="s">
        <v>179</v>
      </c>
      <c r="M5" s="193"/>
      <c r="N5" s="193"/>
      <c r="O5" s="194"/>
      <c r="P5" s="227" t="s">
        <v>116</v>
      </c>
      <c r="Q5" s="228"/>
      <c r="R5" s="228"/>
      <c r="S5" s="229"/>
      <c r="T5" s="221" t="s">
        <v>179</v>
      </c>
      <c r="U5" s="222"/>
      <c r="V5" s="222"/>
      <c r="W5" s="223"/>
    </row>
    <row r="6" spans="2:23" ht="36.75" customHeight="1" thickBot="1">
      <c r="B6" s="300" t="s">
        <v>96</v>
      </c>
      <c r="C6" s="301"/>
      <c r="D6" s="301"/>
      <c r="E6" s="302"/>
      <c r="F6" s="302"/>
      <c r="G6" s="303"/>
      <c r="H6" s="265" t="s">
        <v>125</v>
      </c>
      <c r="I6" s="276"/>
      <c r="J6" s="276"/>
      <c r="K6" s="276"/>
      <c r="L6" s="235" t="s">
        <v>185</v>
      </c>
      <c r="M6" s="236"/>
      <c r="N6" s="236"/>
      <c r="O6" s="237"/>
      <c r="P6" s="214" t="s">
        <v>119</v>
      </c>
      <c r="Q6" s="230"/>
      <c r="R6" s="230"/>
      <c r="S6" s="231"/>
      <c r="T6" s="235" t="s">
        <v>180</v>
      </c>
      <c r="U6" s="236"/>
      <c r="V6" s="236"/>
      <c r="W6" s="237"/>
    </row>
    <row r="7" spans="2:23" ht="36.75" customHeight="1">
      <c r="B7" s="304" t="s">
        <v>97</v>
      </c>
      <c r="C7" s="305"/>
      <c r="D7" s="306" t="s">
        <v>127</v>
      </c>
      <c r="E7" s="307"/>
      <c r="F7" s="307"/>
      <c r="G7" s="308"/>
      <c r="H7" s="277"/>
      <c r="I7" s="276"/>
      <c r="J7" s="276"/>
      <c r="K7" s="276"/>
      <c r="L7" s="238"/>
      <c r="M7" s="251"/>
      <c r="N7" s="251"/>
      <c r="O7" s="240"/>
      <c r="P7" s="232"/>
      <c r="Q7" s="233"/>
      <c r="R7" s="233"/>
      <c r="S7" s="226"/>
      <c r="T7" s="238"/>
      <c r="U7" s="239"/>
      <c r="V7" s="239"/>
      <c r="W7" s="240"/>
    </row>
    <row r="8" spans="2:23" ht="120" customHeight="1" thickBot="1">
      <c r="B8" s="298" t="s">
        <v>98</v>
      </c>
      <c r="C8" s="299"/>
      <c r="D8" s="295" t="s">
        <v>99</v>
      </c>
      <c r="E8" s="296"/>
      <c r="F8" s="296"/>
      <c r="G8" s="297"/>
      <c r="H8" s="277"/>
      <c r="I8" s="276"/>
      <c r="J8" s="276"/>
      <c r="K8" s="276"/>
      <c r="L8" s="241"/>
      <c r="M8" s="242"/>
      <c r="N8" s="242"/>
      <c r="O8" s="243"/>
      <c r="P8" s="234"/>
      <c r="Q8" s="219"/>
      <c r="R8" s="219"/>
      <c r="S8" s="220"/>
      <c r="T8" s="241"/>
      <c r="U8" s="242"/>
      <c r="V8" s="242"/>
      <c r="W8" s="243"/>
    </row>
    <row r="9" spans="2:23" ht="51" customHeight="1" thickBot="1">
      <c r="B9" s="76" t="s">
        <v>84</v>
      </c>
      <c r="C9" s="84" t="e">
        <f>#REF!</f>
        <v>#REF!</v>
      </c>
      <c r="D9" s="78" t="s">
        <v>83</v>
      </c>
      <c r="E9" s="84" t="e">
        <f>#REF!</f>
        <v>#REF!</v>
      </c>
      <c r="F9" s="78" t="s">
        <v>102</v>
      </c>
      <c r="G9" s="85" t="e">
        <f>#REF!</f>
        <v>#REF!</v>
      </c>
      <c r="H9" s="278" t="s">
        <v>126</v>
      </c>
      <c r="I9" s="279"/>
      <c r="J9" s="279"/>
      <c r="K9" s="279"/>
      <c r="L9" s="195" t="s">
        <v>184</v>
      </c>
      <c r="M9" s="195"/>
      <c r="N9" s="195"/>
      <c r="O9" s="196"/>
      <c r="P9" s="218" t="s">
        <v>120</v>
      </c>
      <c r="Q9" s="219"/>
      <c r="R9" s="219"/>
      <c r="S9" s="220"/>
      <c r="T9" s="221" t="s">
        <v>181</v>
      </c>
      <c r="U9" s="222"/>
      <c r="V9" s="222"/>
      <c r="W9" s="223"/>
    </row>
    <row r="10" spans="2:23" ht="51" customHeight="1" thickBot="1">
      <c r="B10" s="80" t="s">
        <v>100</v>
      </c>
      <c r="C10" s="86" t="e">
        <f>#REF!</f>
        <v>#REF!</v>
      </c>
      <c r="D10" s="87" t="s">
        <v>85</v>
      </c>
      <c r="E10" s="86" t="e">
        <f>#REF!</f>
        <v>#REF!</v>
      </c>
      <c r="F10" s="87" t="s">
        <v>101</v>
      </c>
      <c r="G10" s="88" t="e">
        <f>#REF!</f>
        <v>#REF!</v>
      </c>
      <c r="H10" s="200" t="s">
        <v>115</v>
      </c>
      <c r="I10" s="201"/>
      <c r="J10" s="201"/>
      <c r="K10" s="202"/>
      <c r="L10" s="203"/>
      <c r="M10" s="203"/>
      <c r="N10" s="203"/>
      <c r="O10" s="204"/>
      <c r="P10" s="224" t="s">
        <v>121</v>
      </c>
      <c r="Q10" s="225"/>
      <c r="R10" s="225"/>
      <c r="S10" s="226"/>
      <c r="T10" s="235" t="s">
        <v>181</v>
      </c>
      <c r="U10" s="236"/>
      <c r="V10" s="236"/>
      <c r="W10" s="237"/>
    </row>
    <row r="11" spans="2:23" ht="51" customHeight="1" thickBot="1">
      <c r="B11" s="269" t="s">
        <v>105</v>
      </c>
      <c r="C11" s="260"/>
      <c r="D11" s="260"/>
      <c r="E11" s="260"/>
      <c r="F11" s="260"/>
      <c r="G11" s="270"/>
      <c r="H11" s="200" t="s">
        <v>112</v>
      </c>
      <c r="I11" s="201"/>
      <c r="J11" s="201"/>
      <c r="K11" s="202"/>
      <c r="L11" s="250"/>
      <c r="M11" s="203"/>
      <c r="N11" s="203"/>
      <c r="O11" s="203"/>
      <c r="P11" s="197" t="s">
        <v>122</v>
      </c>
      <c r="Q11" s="198"/>
      <c r="R11" s="198"/>
      <c r="S11" s="198"/>
      <c r="T11" s="193" t="s">
        <v>183</v>
      </c>
      <c r="U11" s="193"/>
      <c r="V11" s="193"/>
      <c r="W11" s="194"/>
    </row>
    <row r="12" spans="2:23" ht="51" customHeight="1" thickBot="1">
      <c r="B12" s="280" t="s">
        <v>103</v>
      </c>
      <c r="C12" s="281"/>
      <c r="D12" s="289"/>
      <c r="E12" s="290"/>
      <c r="F12" s="290"/>
      <c r="G12" s="291"/>
      <c r="H12" s="244"/>
      <c r="I12" s="245"/>
      <c r="J12" s="245"/>
      <c r="K12" s="246"/>
      <c r="L12" s="238"/>
      <c r="M12" s="239"/>
      <c r="N12" s="239"/>
      <c r="O12" s="251"/>
      <c r="P12" s="199"/>
      <c r="Q12" s="198"/>
      <c r="R12" s="198"/>
      <c r="S12" s="198"/>
      <c r="T12" s="193"/>
      <c r="U12" s="193"/>
      <c r="V12" s="193"/>
      <c r="W12" s="194"/>
    </row>
    <row r="13" spans="2:23" ht="51" customHeight="1" thickBot="1">
      <c r="B13" s="269" t="s">
        <v>81</v>
      </c>
      <c r="C13" s="287"/>
      <c r="D13" s="287"/>
      <c r="E13" s="287"/>
      <c r="F13" s="287"/>
      <c r="G13" s="288"/>
      <c r="H13" s="244"/>
      <c r="I13" s="245"/>
      <c r="J13" s="245"/>
      <c r="K13" s="246"/>
      <c r="L13" s="238"/>
      <c r="M13" s="239"/>
      <c r="N13" s="239"/>
      <c r="O13" s="251"/>
      <c r="P13" s="197" t="s">
        <v>123</v>
      </c>
      <c r="Q13" s="198"/>
      <c r="R13" s="198"/>
      <c r="S13" s="198"/>
      <c r="T13" s="193" t="s">
        <v>179</v>
      </c>
      <c r="U13" s="193"/>
      <c r="V13" s="193"/>
      <c r="W13" s="194"/>
    </row>
    <row r="14" spans="2:23" ht="51" customHeight="1" thickBot="1">
      <c r="B14" s="256" t="s">
        <v>104</v>
      </c>
      <c r="C14" s="285"/>
      <c r="D14" s="285"/>
      <c r="E14" s="285"/>
      <c r="F14" s="285"/>
      <c r="G14" s="286"/>
      <c r="H14" s="247"/>
      <c r="I14" s="248"/>
      <c r="J14" s="248"/>
      <c r="K14" s="249"/>
      <c r="L14" s="252"/>
      <c r="M14" s="253"/>
      <c r="N14" s="253"/>
      <c r="O14" s="253"/>
      <c r="P14" s="254"/>
      <c r="Q14" s="255"/>
      <c r="R14" s="255"/>
      <c r="S14" s="255"/>
      <c r="T14" s="195"/>
      <c r="U14" s="195"/>
      <c r="V14" s="195"/>
      <c r="W14" s="196"/>
    </row>
    <row r="15" spans="2:23" ht="40.5" customHeight="1" thickBot="1">
      <c r="B15" s="280" t="s">
        <v>106</v>
      </c>
      <c r="C15" s="281"/>
      <c r="D15" s="282" t="e">
        <f>SUM(#REF!)</f>
        <v>#REF!</v>
      </c>
      <c r="E15" s="283"/>
      <c r="F15" s="283"/>
      <c r="G15" s="284"/>
      <c r="H15" s="205"/>
      <c r="I15" s="271"/>
      <c r="J15" s="271"/>
      <c r="K15" s="271"/>
      <c r="L15" s="272"/>
      <c r="M15" s="272"/>
      <c r="N15" s="272"/>
      <c r="O15" s="272"/>
    </row>
    <row r="16" spans="2:23" ht="18.75" customHeight="1" thickBot="1">
      <c r="B16" s="256" t="s">
        <v>107</v>
      </c>
      <c r="C16" s="257"/>
      <c r="D16" s="257"/>
      <c r="E16" s="257"/>
      <c r="F16" s="257"/>
      <c r="G16" s="258"/>
      <c r="H16" s="205"/>
      <c r="I16" s="273"/>
      <c r="J16" s="273"/>
      <c r="K16" s="273"/>
      <c r="L16" s="275"/>
      <c r="M16" s="275"/>
      <c r="N16" s="275"/>
      <c r="O16" s="275"/>
    </row>
    <row r="17" spans="2:15" ht="53.25" customHeight="1" thickBot="1">
      <c r="B17" s="76" t="s">
        <v>109</v>
      </c>
      <c r="C17" s="77" t="e">
        <f>#REF!-#REF!</f>
        <v>#REF!</v>
      </c>
      <c r="D17" s="80" t="s">
        <v>110</v>
      </c>
      <c r="E17" s="77" t="e">
        <f>#REF!</f>
        <v>#REF!</v>
      </c>
      <c r="F17" s="78" t="s">
        <v>111</v>
      </c>
      <c r="G17" s="79" t="e">
        <f>#REF!</f>
        <v>#REF!</v>
      </c>
      <c r="H17" s="274"/>
      <c r="I17" s="273"/>
      <c r="J17" s="273"/>
      <c r="K17" s="273"/>
      <c r="L17" s="275"/>
      <c r="M17" s="275"/>
      <c r="N17" s="275"/>
      <c r="O17" s="275"/>
    </row>
    <row r="18" spans="2:15" ht="13.5" thickBot="1">
      <c r="B18" s="256" t="s">
        <v>108</v>
      </c>
      <c r="C18" s="257"/>
      <c r="D18" s="257"/>
      <c r="E18" s="257"/>
      <c r="F18" s="257"/>
      <c r="G18" s="258"/>
      <c r="H18" s="274"/>
      <c r="I18" s="273"/>
      <c r="J18" s="273"/>
      <c r="K18" s="273"/>
      <c r="L18" s="273"/>
      <c r="M18" s="273"/>
      <c r="N18" s="273"/>
      <c r="O18" s="273"/>
    </row>
    <row r="19" spans="2:15" ht="64.5" thickBot="1">
      <c r="B19" s="76" t="s">
        <v>109</v>
      </c>
      <c r="C19" s="77" t="e">
        <f>#REF!-#REF!</f>
        <v>#REF!</v>
      </c>
      <c r="D19" s="80" t="s">
        <v>110</v>
      </c>
      <c r="E19" s="77" t="e">
        <f>#REF!</f>
        <v>#REF!</v>
      </c>
      <c r="F19" s="78" t="s">
        <v>111</v>
      </c>
      <c r="G19" s="79" t="e">
        <f>#REF!</f>
        <v>#REF!</v>
      </c>
      <c r="H19" s="205"/>
      <c r="I19" s="206"/>
      <c r="J19" s="206"/>
      <c r="K19" s="206"/>
      <c r="L19" s="207"/>
      <c r="M19" s="207"/>
      <c r="N19" s="207"/>
      <c r="O19" s="207"/>
    </row>
  </sheetData>
  <sheetProtection password="9D31" sheet="1" objects="1" scenarios="1"/>
  <mergeCells count="50">
    <mergeCell ref="B1:G1"/>
    <mergeCell ref="B3:G3"/>
    <mergeCell ref="D8:G8"/>
    <mergeCell ref="B8:C8"/>
    <mergeCell ref="B6:G6"/>
    <mergeCell ref="B7:C7"/>
    <mergeCell ref="D7:G7"/>
    <mergeCell ref="D15:G15"/>
    <mergeCell ref="B16:G16"/>
    <mergeCell ref="B14:G14"/>
    <mergeCell ref="B13:G13"/>
    <mergeCell ref="B12:C12"/>
    <mergeCell ref="D12:G12"/>
    <mergeCell ref="B18:G18"/>
    <mergeCell ref="H1:O1"/>
    <mergeCell ref="H2:K4"/>
    <mergeCell ref="L2:O4"/>
    <mergeCell ref="H5:K5"/>
    <mergeCell ref="B11:G11"/>
    <mergeCell ref="H15:K15"/>
    <mergeCell ref="L15:O15"/>
    <mergeCell ref="H16:K18"/>
    <mergeCell ref="L16:O18"/>
    <mergeCell ref="L5:O5"/>
    <mergeCell ref="H6:K8"/>
    <mergeCell ref="H9:K9"/>
    <mergeCell ref="L6:O8"/>
    <mergeCell ref="L9:O9"/>
    <mergeCell ref="B15:C15"/>
    <mergeCell ref="H19:K19"/>
    <mergeCell ref="L19:O19"/>
    <mergeCell ref="P1:W2"/>
    <mergeCell ref="P3:S4"/>
    <mergeCell ref="P9:S9"/>
    <mergeCell ref="T9:W9"/>
    <mergeCell ref="P10:S10"/>
    <mergeCell ref="P5:S5"/>
    <mergeCell ref="T5:W5"/>
    <mergeCell ref="P6:S8"/>
    <mergeCell ref="T6:W8"/>
    <mergeCell ref="H11:K14"/>
    <mergeCell ref="L11:O14"/>
    <mergeCell ref="P13:S14"/>
    <mergeCell ref="T3:W4"/>
    <mergeCell ref="T10:W10"/>
    <mergeCell ref="T11:W12"/>
    <mergeCell ref="T13:W14"/>
    <mergeCell ref="P11:S12"/>
    <mergeCell ref="H10:K10"/>
    <mergeCell ref="L10:O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A86"/>
  <sheetViews>
    <sheetView showGridLines="0" zoomScale="85" zoomScaleNormal="85" workbookViewId="0">
      <selection activeCell="E50" sqref="E50:E52"/>
    </sheetView>
  </sheetViews>
  <sheetFormatPr defaultColWidth="9.140625" defaultRowHeight="1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/>
    <row r="2" spans="2:27" ht="37.5" customHeight="1" thickBot="1">
      <c r="C2" s="327" t="s">
        <v>75</v>
      </c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9"/>
    </row>
    <row r="3" spans="2:27" s="50" customFormat="1" ht="11.25" customHeight="1" thickBot="1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>
      <c r="C4" s="58" t="s">
        <v>12</v>
      </c>
      <c r="D4" s="330" t="s">
        <v>177</v>
      </c>
      <c r="E4" s="331"/>
      <c r="F4" s="91"/>
      <c r="G4" s="57"/>
      <c r="H4" s="58" t="s">
        <v>0</v>
      </c>
      <c r="I4" s="133">
        <v>0.29166666666666669</v>
      </c>
      <c r="J4" s="4"/>
      <c r="K4" s="58" t="s">
        <v>152</v>
      </c>
      <c r="L4" s="309" t="s">
        <v>178</v>
      </c>
      <c r="M4" s="310"/>
      <c r="N4" s="310"/>
      <c r="O4" s="311"/>
    </row>
    <row r="5" spans="2:27" s="50" customFormat="1" ht="21" customHeight="1" thickBot="1"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>
      <c r="B6" s="332" t="s">
        <v>138</v>
      </c>
      <c r="C6" s="333"/>
      <c r="D6" s="333"/>
      <c r="E6" s="333"/>
      <c r="F6" s="333"/>
      <c r="G6" s="334"/>
      <c r="I6" s="318" t="s">
        <v>11</v>
      </c>
      <c r="J6" s="319"/>
      <c r="K6" s="319"/>
      <c r="L6" s="319"/>
      <c r="M6" s="319"/>
      <c r="N6" s="319"/>
      <c r="O6" s="319"/>
      <c r="P6" s="320"/>
      <c r="W6" s="312"/>
      <c r="X6" s="312"/>
      <c r="Y6" s="312"/>
      <c r="Z6" s="312"/>
      <c r="AA6" s="312"/>
    </row>
    <row r="7" spans="2:27" ht="25.5" customHeight="1">
      <c r="B7" s="335" t="s">
        <v>5</v>
      </c>
      <c r="C7" s="336"/>
      <c r="D7" s="336"/>
      <c r="E7" s="336"/>
      <c r="F7" s="336"/>
      <c r="G7" s="127"/>
      <c r="H7" s="50"/>
      <c r="I7" s="342" t="s">
        <v>149</v>
      </c>
      <c r="J7" s="313" t="s">
        <v>9</v>
      </c>
      <c r="K7" s="313"/>
      <c r="L7" s="313" t="s">
        <v>150</v>
      </c>
      <c r="M7" s="313" t="s">
        <v>10</v>
      </c>
      <c r="N7" s="313"/>
      <c r="O7" s="313" t="s">
        <v>143</v>
      </c>
      <c r="P7" s="321" t="s">
        <v>151</v>
      </c>
      <c r="W7" s="1"/>
      <c r="X7" s="1"/>
      <c r="Y7" s="1"/>
      <c r="Z7" s="1"/>
      <c r="AA7" s="1"/>
    </row>
    <row r="8" spans="2:27" ht="22.5" customHeight="1">
      <c r="B8" s="337" t="s">
        <v>4</v>
      </c>
      <c r="C8" s="338"/>
      <c r="D8" s="338"/>
      <c r="E8" s="338"/>
      <c r="F8" s="338"/>
      <c r="G8" s="128"/>
      <c r="H8" s="5"/>
      <c r="I8" s="343"/>
      <c r="J8" s="314"/>
      <c r="K8" s="314"/>
      <c r="L8" s="314"/>
      <c r="M8" s="314"/>
      <c r="N8" s="314"/>
      <c r="O8" s="314"/>
      <c r="P8" s="322"/>
      <c r="W8" s="106"/>
      <c r="X8" s="107"/>
      <c r="Y8" s="108"/>
      <c r="Z8" s="106"/>
      <c r="AA8" s="106"/>
    </row>
    <row r="9" spans="2:27" ht="20.25" customHeight="1">
      <c r="B9" s="337" t="s">
        <v>6</v>
      </c>
      <c r="C9" s="338"/>
      <c r="D9" s="338"/>
      <c r="E9" s="338"/>
      <c r="F9" s="338"/>
      <c r="G9" s="129">
        <v>9</v>
      </c>
      <c r="H9" s="5"/>
      <c r="I9" s="347">
        <v>2</v>
      </c>
      <c r="J9" s="315">
        <v>0.11666666666666665</v>
      </c>
      <c r="K9" s="316"/>
      <c r="L9" s="316">
        <v>0</v>
      </c>
      <c r="M9" s="316">
        <v>0</v>
      </c>
      <c r="N9" s="316"/>
      <c r="O9" s="316">
        <v>0</v>
      </c>
      <c r="P9" s="323">
        <v>5</v>
      </c>
      <c r="W9" s="312"/>
      <c r="X9" s="312"/>
      <c r="Y9" s="312"/>
      <c r="Z9" s="312"/>
      <c r="AA9" s="312"/>
    </row>
    <row r="10" spans="2:27" ht="25.5" customHeight="1" thickBot="1">
      <c r="B10" s="337" t="s">
        <v>141</v>
      </c>
      <c r="C10" s="338"/>
      <c r="D10" s="338"/>
      <c r="E10" s="338"/>
      <c r="F10" s="338"/>
      <c r="G10" s="130"/>
      <c r="H10" s="50"/>
      <c r="I10" s="348"/>
      <c r="J10" s="317"/>
      <c r="K10" s="317"/>
      <c r="L10" s="317"/>
      <c r="M10" s="317"/>
      <c r="N10" s="317"/>
      <c r="O10" s="317"/>
      <c r="P10" s="324"/>
      <c r="W10" s="109"/>
      <c r="X10" s="109"/>
      <c r="Y10" s="109"/>
      <c r="Z10" s="109"/>
      <c r="AA10" s="109"/>
    </row>
    <row r="11" spans="2:27" ht="20.25" customHeight="1" thickBot="1">
      <c r="B11" s="337" t="s">
        <v>140</v>
      </c>
      <c r="C11" s="338"/>
      <c r="D11" s="338"/>
      <c r="E11" s="338"/>
      <c r="F11" s="338"/>
      <c r="G11" s="131"/>
      <c r="H11" s="50"/>
      <c r="I11" s="344" t="s">
        <v>144</v>
      </c>
      <c r="J11" s="345"/>
      <c r="K11" s="345"/>
      <c r="L11" s="345"/>
      <c r="M11" s="345"/>
      <c r="N11" s="345"/>
      <c r="O11" s="346"/>
      <c r="P11" s="50"/>
      <c r="W11" s="50"/>
      <c r="X11" s="50"/>
      <c r="Y11" s="50"/>
      <c r="Z11" s="50"/>
      <c r="AA11" s="50"/>
    </row>
    <row r="12" spans="2:27" ht="20.25" customHeight="1">
      <c r="B12" s="351" t="s">
        <v>142</v>
      </c>
      <c r="C12" s="352"/>
      <c r="D12" s="352"/>
      <c r="E12" s="352"/>
      <c r="F12" s="353"/>
      <c r="G12" s="130"/>
      <c r="H12" s="50"/>
      <c r="I12" s="380" t="s">
        <v>17</v>
      </c>
      <c r="J12" s="382" t="s">
        <v>148</v>
      </c>
      <c r="K12" s="383"/>
      <c r="L12" s="386" t="s">
        <v>7</v>
      </c>
      <c r="M12" s="382" t="s">
        <v>18</v>
      </c>
      <c r="N12" s="383"/>
      <c r="O12" s="339" t="s">
        <v>74</v>
      </c>
      <c r="W12" s="110"/>
      <c r="X12" s="110"/>
      <c r="Y12" s="110"/>
      <c r="Z12" s="110"/>
      <c r="AA12" s="110"/>
    </row>
    <row r="13" spans="2:27" ht="21" customHeight="1" thickBot="1">
      <c r="B13" s="349" t="s">
        <v>82</v>
      </c>
      <c r="C13" s="350"/>
      <c r="D13" s="350"/>
      <c r="E13" s="350"/>
      <c r="F13" s="350"/>
      <c r="G13" s="132"/>
      <c r="H13" s="2"/>
      <c r="I13" s="381"/>
      <c r="J13" s="384"/>
      <c r="K13" s="385"/>
      <c r="L13" s="387"/>
      <c r="M13" s="384"/>
      <c r="N13" s="385"/>
      <c r="O13" s="340"/>
      <c r="U13" s="109"/>
      <c r="V13" s="109"/>
      <c r="W13" s="109"/>
      <c r="X13" s="109"/>
      <c r="Y13" s="109"/>
    </row>
    <row r="14" spans="2:27" ht="24.75" customHeight="1">
      <c r="B14" s="341"/>
      <c r="C14" s="341"/>
      <c r="D14" s="341"/>
      <c r="E14" s="341"/>
      <c r="F14" s="341"/>
      <c r="G14" s="120"/>
      <c r="H14" s="2"/>
      <c r="I14" s="369">
        <v>0</v>
      </c>
      <c r="J14" s="371"/>
      <c r="K14" s="372"/>
      <c r="L14" s="375"/>
      <c r="M14" s="371"/>
      <c r="N14" s="377"/>
      <c r="O14" s="325"/>
      <c r="U14" s="109"/>
      <c r="V14" s="109"/>
      <c r="W14" s="109"/>
      <c r="X14" s="109"/>
      <c r="Y14" s="109"/>
    </row>
    <row r="15" spans="2:27" ht="15" customHeight="1" thickBot="1">
      <c r="H15" s="2"/>
      <c r="I15" s="370"/>
      <c r="J15" s="373"/>
      <c r="K15" s="374"/>
      <c r="L15" s="376"/>
      <c r="M15" s="378"/>
      <c r="N15" s="379"/>
      <c r="O15" s="326"/>
      <c r="V15" s="50"/>
      <c r="W15" s="50"/>
      <c r="X15" s="50"/>
      <c r="Y15" s="50"/>
      <c r="Z15" s="50"/>
    </row>
    <row r="16" spans="2:27" ht="10.5" customHeight="1" thickBot="1">
      <c r="B16" s="118"/>
      <c r="C16" s="118"/>
      <c r="D16" s="118"/>
      <c r="E16" s="118"/>
      <c r="F16" s="118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>
      <c r="C17" s="366" t="s">
        <v>133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8"/>
      <c r="R17" s="48"/>
    </row>
    <row r="18" spans="3:18" ht="20.25" customHeight="1" thickBot="1">
      <c r="C18" s="360" t="s">
        <v>153</v>
      </c>
      <c r="D18" s="361"/>
      <c r="E18" s="361"/>
      <c r="F18" s="361"/>
      <c r="G18" s="361"/>
      <c r="H18" s="361"/>
      <c r="I18" s="362"/>
      <c r="J18" s="50"/>
      <c r="K18" s="357" t="s">
        <v>154</v>
      </c>
      <c r="L18" s="358"/>
      <c r="M18" s="358"/>
      <c r="N18" s="358"/>
      <c r="O18" s="358"/>
      <c r="P18" s="358"/>
      <c r="Q18" s="359"/>
      <c r="R18" s="104"/>
    </row>
    <row r="19" spans="3:18" ht="20.25" customHeight="1" thickBot="1">
      <c r="C19" s="366" t="s">
        <v>8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8"/>
      <c r="R19" s="48"/>
    </row>
    <row r="20" spans="3:18" ht="24.75" customHeight="1" thickBot="1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/>
      <c r="H21" s="52"/>
      <c r="I21" s="62"/>
      <c r="J21" s="6"/>
      <c r="K21" s="121" t="s">
        <v>130</v>
      </c>
      <c r="L21" s="122">
        <v>6</v>
      </c>
      <c r="M21" s="123">
        <v>3</v>
      </c>
      <c r="N21" s="100">
        <f t="shared" ref="N21:N25" si="1">IF(ISBLANK(M21)," 0%", (IF(M21,(L21-M21)/L21,1)))</f>
        <v>0.5</v>
      </c>
      <c r="O21" s="124"/>
      <c r="P21" s="124"/>
      <c r="Q21" s="125"/>
    </row>
    <row r="22" spans="3:18" ht="32.25" customHeight="1" thickBot="1">
      <c r="C22" s="137" t="s">
        <v>128</v>
      </c>
      <c r="D22" s="138">
        <v>6</v>
      </c>
      <c r="E22" s="63">
        <v>2</v>
      </c>
      <c r="F22" s="100">
        <f t="shared" si="0"/>
        <v>0.66666666666666663</v>
      </c>
      <c r="G22" s="54"/>
      <c r="H22" s="54"/>
      <c r="I22" s="55"/>
      <c r="J22" s="1"/>
      <c r="K22" s="116" t="s">
        <v>172</v>
      </c>
      <c r="L22" s="112">
        <v>8</v>
      </c>
      <c r="M22" s="63">
        <v>3</v>
      </c>
      <c r="N22" s="100">
        <f t="shared" si="1"/>
        <v>0.625</v>
      </c>
      <c r="O22" s="54"/>
      <c r="P22" s="54"/>
      <c r="Q22" s="55"/>
    </row>
    <row r="23" spans="3:18" ht="32.25" customHeight="1" thickBot="1">
      <c r="C23" s="137"/>
      <c r="D23" s="138"/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>
        <v>3</v>
      </c>
      <c r="N23" s="100">
        <f t="shared" si="1"/>
        <v>0.625</v>
      </c>
      <c r="O23" s="54"/>
      <c r="P23" s="54"/>
      <c r="Q23" s="55"/>
    </row>
    <row r="24" spans="3:18" ht="25.5" customHeight="1" thickBot="1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1</v>
      </c>
      <c r="N24" s="100">
        <f t="shared" si="1"/>
        <v>0.75</v>
      </c>
      <c r="O24" s="54"/>
      <c r="P24" s="54"/>
      <c r="Q24" s="55"/>
    </row>
    <row r="25" spans="3:18" ht="25.5" customHeight="1" thickBot="1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1</v>
      </c>
      <c r="N25" s="164">
        <f t="shared" si="1"/>
        <v>0.66666666666666663</v>
      </c>
      <c r="O25" s="67"/>
      <c r="P25" s="67"/>
      <c r="Q25" s="44"/>
    </row>
    <row r="26" spans="3:18" ht="19.5" customHeight="1" thickBot="1">
      <c r="C26" s="168" t="s">
        <v>135</v>
      </c>
      <c r="D26" s="169">
        <f>SUM(D21:D25)</f>
        <v>26</v>
      </c>
      <c r="E26" s="145">
        <f>SUM(E21:E25)</f>
        <v>19</v>
      </c>
      <c r="F26" s="166">
        <f t="shared" si="0"/>
        <v>0.26923076923076922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11</v>
      </c>
      <c r="N26" s="166">
        <f>IF(ISBLANK(M26)," 0%", (IF(M26,(L26-M26)/L26,1)))</f>
        <v>0.62068965517241381</v>
      </c>
      <c r="O26" s="158">
        <f>SUM(O21:O25)</f>
        <v>0</v>
      </c>
      <c r="P26" s="158">
        <f>SUM(P21:P25)</f>
        <v>0</v>
      </c>
      <c r="Q26" s="167">
        <f>SUM(Q21:Q25)</f>
        <v>0</v>
      </c>
    </row>
    <row r="27" spans="3:18" ht="19.5" customHeight="1" thickBot="1">
      <c r="C27" s="363" t="s">
        <v>134</v>
      </c>
      <c r="D27" s="364"/>
      <c r="E27" s="364"/>
      <c r="F27" s="364"/>
      <c r="G27" s="364"/>
      <c r="H27" s="364"/>
      <c r="I27" s="364"/>
      <c r="J27" s="364"/>
      <c r="K27" s="364"/>
      <c r="L27" s="364"/>
      <c r="M27" s="364"/>
      <c r="N27" s="364"/>
      <c r="O27" s="364"/>
      <c r="P27" s="364"/>
      <c r="Q27" s="365"/>
      <c r="R27" s="104"/>
    </row>
    <row r="28" spans="3:18" ht="25.5" customHeight="1" thickBot="1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>
      <c r="C29" s="148" t="s">
        <v>3</v>
      </c>
      <c r="D29" s="149">
        <v>23</v>
      </c>
      <c r="E29" s="60">
        <v>7</v>
      </c>
      <c r="F29" s="100">
        <f t="shared" ref="F29:F46" si="2">IF(ISBLANK(E29)," 0%", (IF(E29,(D29-E29)/D29,1)))</f>
        <v>0.69565217391304346</v>
      </c>
      <c r="G29" s="52"/>
      <c r="H29" s="52"/>
      <c r="I29" s="62"/>
      <c r="J29" s="50"/>
      <c r="K29" s="98" t="s">
        <v>146</v>
      </c>
      <c r="L29" s="45">
        <v>22</v>
      </c>
      <c r="M29" s="94">
        <v>3</v>
      </c>
      <c r="N29" s="100">
        <f t="shared" ref="N29:N46" si="3">IF(ISBLANK(M29)," 0%", (IF(M29,(L29-M29)/L29,1)))</f>
        <v>0.86363636363636365</v>
      </c>
      <c r="O29" s="52"/>
      <c r="P29" s="52"/>
      <c r="Q29" s="62"/>
    </row>
    <row r="30" spans="3:18" ht="15.75" customHeight="1" thickBot="1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13</v>
      </c>
      <c r="M30" s="63">
        <v>0</v>
      </c>
      <c r="N30" s="100">
        <f t="shared" si="3"/>
        <v>1</v>
      </c>
      <c r="O30" s="53"/>
      <c r="P30" s="53"/>
      <c r="Q30" s="64"/>
    </row>
    <row r="31" spans="3:18" ht="15.75" customHeight="1" thickBot="1">
      <c r="C31" s="150">
        <v>51</v>
      </c>
      <c r="D31" s="151">
        <v>10</v>
      </c>
      <c r="E31" s="59">
        <v>1</v>
      </c>
      <c r="F31" s="100">
        <f>IF(ISBLANK(E31)," 0%", (IF(E31,(D31-E31)/D31,1)))</f>
        <v>0.9</v>
      </c>
      <c r="G31" s="53"/>
      <c r="H31" s="53"/>
      <c r="I31" s="64"/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/>
      <c r="Q31" s="64"/>
    </row>
    <row r="32" spans="3:18" ht="15.75" customHeight="1" thickBot="1">
      <c r="C32" s="150">
        <v>43</v>
      </c>
      <c r="D32" s="151">
        <v>24</v>
      </c>
      <c r="E32" s="63">
        <v>10</v>
      </c>
      <c r="F32" s="100">
        <f t="shared" si="2"/>
        <v>0.58333333333333337</v>
      </c>
      <c r="G32" s="53"/>
      <c r="H32" s="53"/>
      <c r="I32" s="64"/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/>
      <c r="Q32" s="64"/>
    </row>
    <row r="33" spans="3:19" ht="15.75" customHeight="1" thickBot="1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/>
      <c r="I33" s="64"/>
      <c r="J33" s="50"/>
      <c r="K33" s="99">
        <v>34</v>
      </c>
      <c r="L33" s="46">
        <v>12</v>
      </c>
      <c r="M33" s="63">
        <v>3</v>
      </c>
      <c r="N33" s="100">
        <f t="shared" si="3"/>
        <v>0.75</v>
      </c>
      <c r="O33" s="53"/>
      <c r="P33" s="53"/>
      <c r="Q33" s="64"/>
    </row>
    <row r="34" spans="3:19" ht="15.75" customHeight="1" thickBot="1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/>
      <c r="I34" s="64"/>
      <c r="J34" s="50"/>
      <c r="K34" s="99">
        <v>41</v>
      </c>
      <c r="L34" s="46">
        <v>21</v>
      </c>
      <c r="M34" s="63">
        <v>1</v>
      </c>
      <c r="N34" s="100">
        <f t="shared" si="3"/>
        <v>0.95238095238095233</v>
      </c>
      <c r="O34" s="53"/>
      <c r="P34" s="53"/>
      <c r="Q34" s="64"/>
    </row>
    <row r="35" spans="3:19" ht="15.75" customHeight="1" thickBot="1">
      <c r="C35" s="150"/>
      <c r="D35" s="151"/>
      <c r="E35" s="59"/>
      <c r="F35" s="100" t="str">
        <f t="shared" si="2"/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1</v>
      </c>
      <c r="N35" s="100">
        <f t="shared" si="3"/>
        <v>0.95833333333333337</v>
      </c>
      <c r="O35" s="53"/>
      <c r="P35" s="53"/>
      <c r="Q35" s="64"/>
    </row>
    <row r="36" spans="3:19" ht="15.75" customHeight="1" thickBot="1">
      <c r="C36" s="150"/>
      <c r="D36" s="151"/>
      <c r="E36" s="59"/>
      <c r="F36" s="100" t="str">
        <f t="shared" si="2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/>
      <c r="Q36" s="64"/>
      <c r="S36" s="51" t="s">
        <v>1</v>
      </c>
    </row>
    <row r="37" spans="3:19" ht="15.75" customHeight="1" thickBot="1">
      <c r="C37" s="150"/>
      <c r="D37" s="151"/>
      <c r="E37" s="59"/>
      <c r="F37" s="100" t="str">
        <f t="shared" si="2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2</v>
      </c>
      <c r="N37" s="100">
        <f t="shared" si="3"/>
        <v>0.91666666666666663</v>
      </c>
      <c r="O37" s="53"/>
      <c r="P37" s="53"/>
      <c r="Q37" s="64"/>
    </row>
    <row r="38" spans="3:19" ht="15.75" customHeight="1" thickBot="1">
      <c r="C38" s="150"/>
      <c r="D38" s="151"/>
      <c r="E38" s="59"/>
      <c r="F38" s="100" t="str">
        <f t="shared" si="2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/>
      <c r="P38" s="53"/>
      <c r="Q38" s="64"/>
    </row>
    <row r="39" spans="3:19" ht="15.75" customHeight="1" thickBot="1">
      <c r="C39" s="150"/>
      <c r="D39" s="151"/>
      <c r="E39" s="59"/>
      <c r="F39" s="100" t="str">
        <f t="shared" si="2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0</v>
      </c>
      <c r="N39" s="100">
        <f t="shared" si="3"/>
        <v>1</v>
      </c>
      <c r="O39" s="53"/>
      <c r="P39" s="53"/>
      <c r="Q39" s="64"/>
    </row>
    <row r="40" spans="3:19" ht="15.75" customHeight="1" thickBot="1">
      <c r="C40" s="150"/>
      <c r="D40" s="151"/>
      <c r="E40" s="59"/>
      <c r="F40" s="100" t="str">
        <f t="shared" si="2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/>
      <c r="P40" s="53"/>
      <c r="Q40" s="64"/>
    </row>
    <row r="41" spans="3:19" ht="15.75" customHeight="1" thickBot="1">
      <c r="C41" s="150"/>
      <c r="D41" s="151"/>
      <c r="E41" s="59"/>
      <c r="F41" s="100" t="str">
        <f t="shared" si="2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0</v>
      </c>
      <c r="N41" s="100">
        <f t="shared" si="3"/>
        <v>1</v>
      </c>
      <c r="O41" s="53"/>
      <c r="P41" s="53"/>
      <c r="Q41" s="64"/>
    </row>
    <row r="42" spans="3:19" ht="15.75" customHeight="1" thickBot="1">
      <c r="C42" s="150"/>
      <c r="D42" s="151"/>
      <c r="E42" s="59"/>
      <c r="F42" s="100" t="str">
        <f t="shared" si="2"/>
        <v xml:space="preserve"> 0%</v>
      </c>
      <c r="G42" s="53"/>
      <c r="H42" s="53"/>
      <c r="I42" s="55"/>
      <c r="J42" s="50"/>
      <c r="K42" s="99">
        <v>5</v>
      </c>
      <c r="L42" s="90">
        <v>10</v>
      </c>
      <c r="M42" s="63"/>
      <c r="N42" s="100" t="str">
        <f t="shared" si="3"/>
        <v xml:space="preserve"> 0%</v>
      </c>
      <c r="O42" s="49" t="s">
        <v>147</v>
      </c>
      <c r="P42" s="53"/>
      <c r="Q42" s="64"/>
    </row>
    <row r="43" spans="3:19" ht="15.75" customHeight="1" thickBot="1">
      <c r="C43" s="150"/>
      <c r="D43" s="151"/>
      <c r="E43" s="59"/>
      <c r="F43" s="100" t="str">
        <f t="shared" si="2"/>
        <v xml:space="preserve"> 0%</v>
      </c>
      <c r="G43" s="53"/>
      <c r="H43" s="53"/>
      <c r="I43" s="55"/>
      <c r="J43" s="50"/>
      <c r="K43" s="99" t="s">
        <v>68</v>
      </c>
      <c r="L43" s="61">
        <v>10</v>
      </c>
      <c r="M43" s="63"/>
      <c r="N43" s="100" t="str">
        <f t="shared" si="3"/>
        <v xml:space="preserve"> 0%</v>
      </c>
      <c r="O43" s="49" t="s">
        <v>147</v>
      </c>
      <c r="P43" s="53"/>
      <c r="Q43" s="64"/>
    </row>
    <row r="44" spans="3:19" ht="15.75" customHeight="1" thickBot="1">
      <c r="C44" s="150"/>
      <c r="D44" s="151"/>
      <c r="E44" s="59"/>
      <c r="F44" s="100" t="str">
        <f t="shared" si="2"/>
        <v xml:space="preserve"> 0%</v>
      </c>
      <c r="G44" s="53"/>
      <c r="H44" s="53"/>
      <c r="I44" s="55"/>
      <c r="J44" s="50"/>
      <c r="K44" s="99">
        <v>9</v>
      </c>
      <c r="L44" s="61">
        <v>11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>
      <c r="C45" s="150"/>
      <c r="D45" s="151"/>
      <c r="E45" s="59"/>
      <c r="F45" s="100" t="str">
        <f t="shared" si="2"/>
        <v xml:space="preserve"> 0%</v>
      </c>
      <c r="G45" s="53"/>
      <c r="H45" s="53"/>
      <c r="I45" s="55"/>
      <c r="J45" s="50"/>
      <c r="K45" s="99">
        <v>10</v>
      </c>
      <c r="L45" s="61">
        <v>16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>
      <c r="C46" s="152"/>
      <c r="D46" s="142"/>
      <c r="E46" s="93"/>
      <c r="F46" s="100" t="str">
        <f t="shared" si="2"/>
        <v xml:space="preserve"> 0%</v>
      </c>
      <c r="G46" s="8"/>
      <c r="H46" s="8"/>
      <c r="I46" s="66"/>
      <c r="J46" s="50"/>
      <c r="K46" s="99">
        <v>13</v>
      </c>
      <c r="L46" s="61">
        <v>12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>
      <c r="C47" s="143" t="s">
        <v>135</v>
      </c>
      <c r="D47" s="144">
        <f>SUM(D29:D46)</f>
        <v>86</v>
      </c>
      <c r="E47" s="145">
        <f>SUM(E29:E46)</f>
        <v>24</v>
      </c>
      <c r="F47" s="100">
        <f>IF(ISBLANK(E47)," 0%", (IF(E47,(D47-E47)/D47,1)))</f>
        <v>0.72093023255813948</v>
      </c>
      <c r="G47" s="146">
        <f>SUM(G29:G46)</f>
        <v>0</v>
      </c>
      <c r="H47" s="146">
        <f>SUM(H29:H46)</f>
        <v>0</v>
      </c>
      <c r="I47" s="146">
        <f>SUM(I29:I46)</f>
        <v>0</v>
      </c>
      <c r="J47" s="141"/>
      <c r="K47" s="147" t="s">
        <v>135</v>
      </c>
      <c r="L47" s="144">
        <f>SUM(L29:L46)</f>
        <v>349</v>
      </c>
      <c r="M47" s="145">
        <f>SUM(M29:M46)</f>
        <v>10</v>
      </c>
      <c r="N47" s="100">
        <f>IF(ISBLANK(M47)," 0%", (IF(M47,(L47-M47)/L47,1)))</f>
        <v>0.97134670487106012</v>
      </c>
      <c r="O47" s="146">
        <f>SUM(O29:O46)</f>
        <v>0</v>
      </c>
      <c r="P47" s="146">
        <f>SUM(P29:P46)</f>
        <v>0</v>
      </c>
      <c r="Q47" s="146">
        <f>SUM(Q29:Q46)</f>
        <v>0</v>
      </c>
    </row>
    <row r="48" spans="3:19" ht="18.75" customHeight="1" thickBot="1">
      <c r="C48" s="354" t="s">
        <v>145</v>
      </c>
      <c r="D48" s="355"/>
      <c r="E48" s="355"/>
      <c r="F48" s="355"/>
      <c r="G48" s="355"/>
      <c r="H48" s="355"/>
      <c r="I48" s="355"/>
      <c r="J48" s="355"/>
      <c r="K48" s="355"/>
      <c r="L48" s="355"/>
      <c r="M48" s="355"/>
      <c r="N48" s="355"/>
      <c r="O48" s="355"/>
      <c r="P48" s="355"/>
      <c r="Q48" s="356"/>
      <c r="R48" s="48"/>
    </row>
    <row r="49" spans="3:18" ht="29.25" customHeight="1" thickBot="1">
      <c r="C49" s="153" t="s">
        <v>2</v>
      </c>
      <c r="D49" s="153" t="s">
        <v>13</v>
      </c>
      <c r="E49" s="95" t="s">
        <v>73</v>
      </c>
      <c r="F49" s="95" t="s">
        <v>16</v>
      </c>
      <c r="G49" s="95" t="s">
        <v>69</v>
      </c>
      <c r="H49" s="95" t="s">
        <v>77</v>
      </c>
      <c r="I49" s="95" t="s">
        <v>70</v>
      </c>
      <c r="J49" s="1"/>
      <c r="K49" s="126" t="s">
        <v>2</v>
      </c>
      <c r="L49" s="126" t="s">
        <v>13</v>
      </c>
      <c r="M49" s="126" t="s">
        <v>73</v>
      </c>
      <c r="N49" s="126" t="s">
        <v>137</v>
      </c>
      <c r="O49" s="192" t="s">
        <v>16</v>
      </c>
      <c r="P49" s="126" t="s">
        <v>69</v>
      </c>
      <c r="Q49" s="126" t="s">
        <v>77</v>
      </c>
      <c r="R49" s="89"/>
    </row>
    <row r="50" spans="3:18" ht="23.25" customHeight="1" thickBot="1">
      <c r="C50" s="154" t="s">
        <v>175</v>
      </c>
      <c r="D50" s="149">
        <v>4</v>
      </c>
      <c r="E50" s="60">
        <v>3</v>
      </c>
      <c r="F50" s="100">
        <f t="shared" ref="F50:F57" si="4">IF(ISBLANK(E50)," 0%", (IF(E50,(D50-E50)/D50,1)))</f>
        <v>0.25</v>
      </c>
      <c r="G50" s="52"/>
      <c r="H50" s="52"/>
      <c r="I50" s="62"/>
      <c r="J50" s="50"/>
      <c r="K50" s="103" t="s">
        <v>175</v>
      </c>
      <c r="L50" s="45">
        <v>5</v>
      </c>
      <c r="M50" s="60">
        <v>2</v>
      </c>
      <c r="N50" s="100">
        <f t="shared" ref="N50:N57" si="5">IF(ISBLANK(M50)," 0%", (IF(M50,(L50-M50)/L50,1)))</f>
        <v>0.6</v>
      </c>
      <c r="O50" s="52"/>
      <c r="P50" s="52"/>
      <c r="Q50" s="62"/>
    </row>
    <row r="51" spans="3:18" ht="28.5" customHeight="1" thickBot="1">
      <c r="C51" s="155" t="s">
        <v>80</v>
      </c>
      <c r="D51" s="151">
        <v>8</v>
      </c>
      <c r="E51" s="59">
        <v>7</v>
      </c>
      <c r="F51" s="100">
        <f>IF(ISBLANK(E51)," 0%", (IF(E51,(D51-E51)/D51,1)))</f>
        <v>0.125</v>
      </c>
      <c r="G51" s="53"/>
      <c r="H51" s="53"/>
      <c r="I51" s="64"/>
      <c r="J51" s="1"/>
      <c r="K51" s="102" t="s">
        <v>176</v>
      </c>
      <c r="L51" s="46">
        <v>10</v>
      </c>
      <c r="M51" s="59">
        <v>7</v>
      </c>
      <c r="N51" s="100">
        <f t="shared" ref="N51" si="6">IF(ISBLANK(M51)," 0%", (IF(M51,(L51-M51)/L51,1)))</f>
        <v>0.3</v>
      </c>
      <c r="O51" s="53"/>
      <c r="P51" s="53"/>
      <c r="Q51" s="64"/>
    </row>
    <row r="52" spans="3:18" ht="26.25" customHeight="1" thickBot="1">
      <c r="C52" s="155" t="s">
        <v>15</v>
      </c>
      <c r="D52" s="151">
        <v>3</v>
      </c>
      <c r="E52" s="59">
        <v>3</v>
      </c>
      <c r="F52" s="100">
        <f t="shared" si="4"/>
        <v>0</v>
      </c>
      <c r="G52" s="53"/>
      <c r="H52" s="53"/>
      <c r="I52" s="64"/>
      <c r="J52" s="1"/>
      <c r="K52" s="101" t="s">
        <v>86</v>
      </c>
      <c r="L52" s="46">
        <v>4</v>
      </c>
      <c r="M52" s="59">
        <v>3</v>
      </c>
      <c r="N52" s="100">
        <f t="shared" si="5"/>
        <v>0.25</v>
      </c>
      <c r="O52" s="53"/>
      <c r="P52" s="53"/>
      <c r="Q52" s="64"/>
    </row>
    <row r="53" spans="3:18" ht="28.5" customHeight="1" thickBot="1">
      <c r="C53" s="155"/>
      <c r="D53" s="151"/>
      <c r="E53" s="59"/>
      <c r="F53" s="100" t="str">
        <f>IF(ISBLANK(E53)," 0%", (IF(E53,(D53-E53)/D53,1)))</f>
        <v xml:space="preserve"> 0%</v>
      </c>
      <c r="G53" s="53"/>
      <c r="H53" s="53"/>
      <c r="I53" s="55"/>
      <c r="J53" s="9"/>
      <c r="K53" s="101" t="s">
        <v>79</v>
      </c>
      <c r="L53" s="46">
        <v>3</v>
      </c>
      <c r="M53" s="59">
        <v>2</v>
      </c>
      <c r="N53" s="100">
        <f t="shared" si="5"/>
        <v>0.33333333333333331</v>
      </c>
      <c r="O53" s="53"/>
      <c r="P53" s="53"/>
      <c r="Q53" s="64"/>
    </row>
    <row r="54" spans="3:18" ht="27.75" customHeight="1" thickBot="1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14</v>
      </c>
      <c r="L54" s="46">
        <v>21</v>
      </c>
      <c r="M54" s="59">
        <v>0</v>
      </c>
      <c r="N54" s="100">
        <f t="shared" si="5"/>
        <v>1</v>
      </c>
      <c r="O54" s="53"/>
      <c r="P54" s="53"/>
      <c r="Q54" s="64"/>
    </row>
    <row r="55" spans="3:18" ht="28.5" customHeight="1" thickBot="1">
      <c r="C55" s="155"/>
      <c r="D55" s="151"/>
      <c r="E55" s="59"/>
      <c r="F55" s="100" t="str">
        <f>IF(ISBLANK(E55)," 0%", (IF(E55,(D55-E55)/D55,1)))</f>
        <v xml:space="preserve"> 0%</v>
      </c>
      <c r="G55" s="53"/>
      <c r="H55" s="53"/>
      <c r="I55" s="64"/>
      <c r="J55" s="1"/>
      <c r="K55" s="102" t="s">
        <v>80</v>
      </c>
      <c r="L55" s="46">
        <v>16</v>
      </c>
      <c r="M55" s="59">
        <v>8</v>
      </c>
      <c r="N55" s="100">
        <f t="shared" si="5"/>
        <v>0.5</v>
      </c>
      <c r="O55" s="53"/>
      <c r="P55" s="53"/>
      <c r="Q55" s="64"/>
    </row>
    <row r="56" spans="3:18" ht="23.25" customHeight="1" thickBot="1">
      <c r="C56" s="163"/>
      <c r="D56" s="156"/>
      <c r="E56" s="93"/>
      <c r="F56" s="164" t="str">
        <f t="shared" si="4"/>
        <v xml:space="preserve"> 0%</v>
      </c>
      <c r="G56" s="67"/>
      <c r="H56" s="67"/>
      <c r="I56" s="66"/>
      <c r="J56" s="50"/>
      <c r="K56" s="92" t="s">
        <v>15</v>
      </c>
      <c r="L56" s="47">
        <v>17</v>
      </c>
      <c r="M56" s="93">
        <v>12</v>
      </c>
      <c r="N56" s="100">
        <f t="shared" si="5"/>
        <v>0.29411764705882354</v>
      </c>
      <c r="O56" s="10"/>
      <c r="P56" s="8"/>
      <c r="Q56" s="66"/>
    </row>
    <row r="57" spans="3:18" ht="24.95" customHeight="1" thickBot="1">
      <c r="C57" s="165" t="s">
        <v>135</v>
      </c>
      <c r="D57" s="157">
        <f>SUM(D50:D56)</f>
        <v>15</v>
      </c>
      <c r="E57" s="145">
        <f>SUM(E50:E56)</f>
        <v>13</v>
      </c>
      <c r="F57" s="166">
        <f t="shared" si="4"/>
        <v>0.13333333333333333</v>
      </c>
      <c r="G57" s="158">
        <f>SUM(G50:G56)</f>
        <v>0</v>
      </c>
      <c r="H57" s="158">
        <f t="shared" ref="H57:I57" si="7">SUM(H50:H56)</f>
        <v>0</v>
      </c>
      <c r="I57" s="167">
        <f t="shared" si="7"/>
        <v>0</v>
      </c>
      <c r="J57" s="159"/>
      <c r="K57" s="160" t="s">
        <v>135</v>
      </c>
      <c r="L57" s="144">
        <f>SUM(L50:L56)</f>
        <v>76</v>
      </c>
      <c r="M57" s="145">
        <f>SUM(M50:M56)</f>
        <v>34</v>
      </c>
      <c r="N57" s="166">
        <f t="shared" si="5"/>
        <v>0.55263157894736847</v>
      </c>
      <c r="O57" s="157"/>
      <c r="P57" s="146"/>
      <c r="Q57" s="161"/>
      <c r="R57" s="162"/>
    </row>
    <row r="58" spans="3:18" ht="20.25" customHeight="1">
      <c r="C58" s="162"/>
      <c r="D58" s="162"/>
      <c r="E58" s="162"/>
      <c r="F58" s="141"/>
      <c r="G58" s="141"/>
      <c r="H58" s="141"/>
      <c r="I58" s="162"/>
      <c r="J58" s="162"/>
      <c r="K58" s="162"/>
      <c r="L58" s="162"/>
      <c r="M58" s="162"/>
      <c r="N58" s="162"/>
      <c r="O58" s="162"/>
      <c r="P58" s="162"/>
      <c r="Q58" s="162"/>
      <c r="R58" s="162"/>
    </row>
    <row r="59" spans="3:18" ht="12.75" customHeight="1"/>
    <row r="60" spans="3:18" ht="24" customHeight="1"/>
    <row r="61" spans="3:18" ht="24" customHeight="1"/>
    <row r="62" spans="3:18" ht="24" customHeight="1"/>
    <row r="63" spans="3:18" ht="24" customHeight="1"/>
    <row r="64" spans="3:18" ht="24" customHeight="1"/>
    <row r="65" spans="3:3" ht="24" customHeight="1">
      <c r="C65" s="51" t="s">
        <v>1</v>
      </c>
    </row>
    <row r="66" spans="3:3" ht="24" customHeight="1"/>
    <row r="67" spans="3:3" ht="24" customHeight="1"/>
    <row r="68" spans="3:3" ht="24" customHeight="1">
      <c r="C68" s="51" t="s">
        <v>1</v>
      </c>
    </row>
    <row r="69" spans="3:3" ht="24" customHeight="1">
      <c r="C69" s="51" t="s">
        <v>1</v>
      </c>
    </row>
    <row r="70" spans="3:3" ht="24" customHeight="1"/>
    <row r="71" spans="3:3" ht="15.75" customHeight="1"/>
    <row r="74" spans="3:3" ht="12" customHeight="1"/>
    <row r="75" spans="3:3" ht="12.75" customHeight="1"/>
    <row r="79" spans="3:3" ht="12" customHeight="1"/>
    <row r="80" spans="3:3" ht="12" customHeight="1"/>
    <row r="81" ht="12.75" customHeight="1"/>
    <row r="84" ht="12" customHeight="1"/>
    <row r="85" ht="12" customHeight="1"/>
    <row r="86" ht="12.75" customHeight="1"/>
  </sheetData>
  <sheetProtection password="9D31" sheet="1" objects="1" scenarios="1" selectLockedCells="1"/>
  <mergeCells count="44">
    <mergeCell ref="I14:I15"/>
    <mergeCell ref="J14:K15"/>
    <mergeCell ref="L14:L15"/>
    <mergeCell ref="M14:N15"/>
    <mergeCell ref="I12:I13"/>
    <mergeCell ref="J12:K13"/>
    <mergeCell ref="L12:L13"/>
    <mergeCell ref="M12:N13"/>
    <mergeCell ref="C48:Q48"/>
    <mergeCell ref="K18:Q18"/>
    <mergeCell ref="C18:I18"/>
    <mergeCell ref="C27:Q27"/>
    <mergeCell ref="C17:Q17"/>
    <mergeCell ref="C19:Q19"/>
    <mergeCell ref="O14:O15"/>
    <mergeCell ref="C2:O2"/>
    <mergeCell ref="D4:E4"/>
    <mergeCell ref="B6:G6"/>
    <mergeCell ref="B7:F7"/>
    <mergeCell ref="B8:F8"/>
    <mergeCell ref="O12:O13"/>
    <mergeCell ref="B14:F14"/>
    <mergeCell ref="I7:I8"/>
    <mergeCell ref="I11:O11"/>
    <mergeCell ref="I9:I10"/>
    <mergeCell ref="B9:F9"/>
    <mergeCell ref="B10:F10"/>
    <mergeCell ref="B11:F11"/>
    <mergeCell ref="B13:F13"/>
    <mergeCell ref="B12:F12"/>
    <mergeCell ref="L4:O4"/>
    <mergeCell ref="W6:AA6"/>
    <mergeCell ref="W9:AA9"/>
    <mergeCell ref="J7:K8"/>
    <mergeCell ref="L7:L8"/>
    <mergeCell ref="M7:N8"/>
    <mergeCell ref="O7:O8"/>
    <mergeCell ref="J9:K10"/>
    <mergeCell ref="L9:L10"/>
    <mergeCell ref="M9:N10"/>
    <mergeCell ref="O9:O10"/>
    <mergeCell ref="I6:P6"/>
    <mergeCell ref="P7:P8"/>
    <mergeCell ref="P9:P10"/>
  </mergeCells>
  <conditionalFormatting sqref="F50:F56 N50:N56 N29:N46 F21:F25 N21:N25 F29:F46">
    <cfRule type="cellIs" dxfId="43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26 F57 N26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/>
  <cols>
    <col min="1" max="1" width="9.140625" hidden="1" customWidth="1"/>
    <col min="2" max="2" width="2.85546875" customWidth="1"/>
    <col min="3" max="6" width="22.42578125" customWidth="1"/>
  </cols>
  <sheetData>
    <row r="1" spans="1:6" ht="33.75">
      <c r="C1" s="415" t="e">
        <f>#REF!</f>
        <v>#REF!</v>
      </c>
      <c r="D1" s="415"/>
      <c r="E1" s="416" t="e">
        <f>#REF!</f>
        <v>#REF!</v>
      </c>
      <c r="F1" s="416"/>
    </row>
    <row r="2" spans="1:6" ht="13.5" thickBot="1"/>
    <row r="3" spans="1:6" ht="24" thickBot="1">
      <c r="A3" s="11" t="s">
        <v>23</v>
      </c>
      <c r="C3" s="15" t="s">
        <v>22</v>
      </c>
      <c r="D3" s="417"/>
      <c r="E3" s="418"/>
      <c r="F3" s="419"/>
    </row>
    <row r="4" spans="1:6" ht="15.75" thickBot="1">
      <c r="A4" s="11" t="s">
        <v>34</v>
      </c>
      <c r="C4" s="36"/>
      <c r="D4" s="35"/>
      <c r="E4" s="35"/>
      <c r="F4" s="35"/>
    </row>
    <row r="5" spans="1:6" ht="13.5" thickBot="1">
      <c r="A5" s="11" t="s">
        <v>35</v>
      </c>
      <c r="C5" s="414" t="s">
        <v>29</v>
      </c>
      <c r="D5" s="404"/>
      <c r="E5" s="404"/>
      <c r="F5" s="405"/>
    </row>
    <row r="6" spans="1:6">
      <c r="A6" s="11" t="s">
        <v>36</v>
      </c>
      <c r="C6" s="413" t="s">
        <v>26</v>
      </c>
      <c r="D6" s="389"/>
      <c r="E6" s="389"/>
      <c r="F6" s="28" t="e">
        <f>SUM(#REF!)</f>
        <v>#REF!</v>
      </c>
    </row>
    <row r="7" spans="1:6">
      <c r="A7" s="11" t="s">
        <v>37</v>
      </c>
      <c r="C7" s="412" t="s">
        <v>28</v>
      </c>
      <c r="D7" s="391"/>
      <c r="E7" s="391"/>
      <c r="F7" s="29" t="e">
        <f>SUM(#REF!)</f>
        <v>#REF!</v>
      </c>
    </row>
    <row r="8" spans="1:6" ht="12.75" customHeight="1">
      <c r="A8" s="11" t="s">
        <v>38</v>
      </c>
      <c r="C8" s="412" t="s">
        <v>27</v>
      </c>
      <c r="D8" s="391"/>
      <c r="E8" s="391"/>
      <c r="F8" s="30" t="e">
        <f>SUM(#REF!)</f>
        <v>#REF!</v>
      </c>
    </row>
    <row r="9" spans="1:6" ht="15" customHeight="1">
      <c r="A9" s="11" t="s">
        <v>39</v>
      </c>
      <c r="C9" s="410" t="s">
        <v>25</v>
      </c>
      <c r="D9" s="411"/>
      <c r="E9" s="411"/>
      <c r="F9" s="13" t="e">
        <f>(SUM(#REF!))+(SUM(#REF!))</f>
        <v>#REF!</v>
      </c>
    </row>
    <row r="10" spans="1:6" ht="13.5" thickBot="1">
      <c r="A10" s="11" t="s">
        <v>40</v>
      </c>
      <c r="C10" s="408" t="s">
        <v>50</v>
      </c>
      <c r="D10" s="409"/>
      <c r="E10" s="409"/>
      <c r="F10" s="20" t="e">
        <f>SUM(#REF!)</f>
        <v>#REF!</v>
      </c>
    </row>
    <row r="11" spans="1:6" ht="13.5" thickBot="1"/>
    <row r="12" spans="1:6" ht="13.5" thickBot="1">
      <c r="A12" t="s">
        <v>19</v>
      </c>
      <c r="C12" s="406" t="s">
        <v>16</v>
      </c>
      <c r="D12" s="407"/>
      <c r="E12" s="406" t="s">
        <v>24</v>
      </c>
      <c r="F12" s="407"/>
    </row>
    <row r="13" spans="1:6">
      <c r="A13" t="s">
        <v>44</v>
      </c>
      <c r="C13" s="33" t="s">
        <v>20</v>
      </c>
      <c r="D13" s="34" t="s">
        <v>21</v>
      </c>
      <c r="E13" s="33" t="s">
        <v>55</v>
      </c>
      <c r="F13" s="34" t="s">
        <v>54</v>
      </c>
    </row>
    <row r="14" spans="1:6" ht="13.5" thickBot="1">
      <c r="C14" s="28" t="e">
        <f>((((SUM(#REF!)+15)-((IF((SUM(#REF!))&gt;0,(7-(SUM(#REF!))),0))+(SUM(#REF!))+#REF!)))+((IF(#REF!=13,(SUM(#REF!)),0))+(IF(#REF!=13,(SUM(#REF!)),0))+(IF(#REF!=13,(SUM(#REF!)),0))+(IF(#REF!=13,(SUM(#REF!)),0))+(IF(#REF!=13,(SUM(#REF!)),0))+(IF(#REF!=13,(SUM(#REF!)),0))))/((SUM(#REF!)+15))</f>
        <v>#REF!</v>
      </c>
      <c r="D14" s="28" t="e">
        <f>((((SUM(#REF!)+(SUM(#REF!)))-(#REF!+#REF!)))+((IF(#REF!="SSSU",(SUM(#REF!)),0))+(IF(#REF!="SSSU",(SUM(#REF!)),0))+(IF(#REF!="SSSU",(SUM(#REF!)),0))+(IF(#REF!="SSSU",(SUM(#REF!)),0))+(IF(#REF!="SSSU",(SUM(#REF!)),0))+( IF(#REF!="SSSU",(SUM(#REF!)),0))))/(SUM(#REF!)+(SUM(#REF!)))</f>
        <v>#REF!</v>
      </c>
      <c r="E14" s="14" t="e">
        <f>SUM(#REF!,#REF!,#REF!)</f>
        <v>#REF!</v>
      </c>
      <c r="F14" s="20" t="e">
        <f>SUM(#REF!,#REF!,#REF!)</f>
        <v>#REF!</v>
      </c>
    </row>
    <row r="15" spans="1:6">
      <c r="C15" s="16" t="s">
        <v>56</v>
      </c>
      <c r="D15" s="13" t="e">
        <f>SUM(#REF!)</f>
        <v>#REF!</v>
      </c>
      <c r="E15" s="31" t="s">
        <v>58</v>
      </c>
      <c r="F15" s="32" t="s">
        <v>30</v>
      </c>
    </row>
    <row r="16" spans="1:6" ht="13.5" thickBot="1">
      <c r="C16" s="23" t="s">
        <v>57</v>
      </c>
      <c r="D16" s="24" t="e">
        <f>((((SUM(#REF!)+(SUM(#REF!)))-(#REF!+#REF!))+((((SUM(#REF!)+15)-((SUM(#REF!))+(SUM(#REF!))+#REF!))+((IF(#REF!=13,(SUM(#REF!)),0))+(IF(#REF!=13,(SUM(#REF!)),0))+(IF(#REF!=13,(SUM(#REF!)),0))+(IF(#REF!=13,(SUM(#REF!)),0))+(IF(#REF!=13,(SUM(#REF!)),0))+(IF(#REF!=13,(SUM(#REF!)),0))+ ((IF(#REF!="SSSU",(SUM(#REF!)),0))+(IF(#REF!="SSSU",(SUM(#REF!)),0))+(IF(#REF!="SSSU",(SUM(#REF!)),0))+(IF(#REF!="SSSU",(SUM(#REF!)),0))+(IF(#REF!="SSSU",(SUM(#REF!)),0))+( IF(#REF!="SSSU",(SUM(#REF!)),0)))))))/((SUM(#REF!)+(SUM(#REF!)))+((SUM(#REF!)+15))))</f>
        <v>#REF!</v>
      </c>
      <c r="E16" s="14" t="e">
        <f>SUM(#REF!)</f>
        <v>#REF!</v>
      </c>
      <c r="F16" s="20" t="e">
        <f>#REF!</f>
        <v>#REF!</v>
      </c>
    </row>
    <row r="17" spans="3:6" ht="13.5" thickBot="1"/>
    <row r="18" spans="3:6">
      <c r="C18" s="398" t="s">
        <v>33</v>
      </c>
      <c r="D18" s="399"/>
      <c r="E18" s="400" t="s">
        <v>51</v>
      </c>
      <c r="F18" s="399"/>
    </row>
    <row r="19" spans="3:6">
      <c r="C19" s="16" t="s">
        <v>31</v>
      </c>
      <c r="D19" s="22" t="s">
        <v>7</v>
      </c>
      <c r="E19" s="25" t="s">
        <v>31</v>
      </c>
      <c r="F19" s="22" t="s">
        <v>7</v>
      </c>
    </row>
    <row r="20" spans="3:6">
      <c r="C20" s="12"/>
      <c r="D20" s="13"/>
      <c r="E20" s="26" t="e">
        <f>#REF!</f>
        <v>#REF!</v>
      </c>
      <c r="F20" s="13" t="e">
        <f>#REF!</f>
        <v>#REF!</v>
      </c>
    </row>
    <row r="21" spans="3:6" ht="13.5" thickBot="1">
      <c r="C21" s="23" t="s">
        <v>32</v>
      </c>
      <c r="D21" s="42">
        <f>D20-C20</f>
        <v>0</v>
      </c>
      <c r="E21" s="27" t="s">
        <v>32</v>
      </c>
      <c r="F21" s="42" t="e">
        <f>F20-E20</f>
        <v>#REF!</v>
      </c>
    </row>
    <row r="22" spans="3:6" ht="13.5" thickBot="1"/>
    <row r="23" spans="3:6">
      <c r="C23" s="398" t="s">
        <v>52</v>
      </c>
      <c r="D23" s="399"/>
      <c r="E23" s="401" t="s">
        <v>65</v>
      </c>
      <c r="F23" s="402"/>
    </row>
    <row r="24" spans="3:6">
      <c r="C24" s="38" t="s">
        <v>67</v>
      </c>
      <c r="D24" s="22" t="s">
        <v>53</v>
      </c>
      <c r="E24" s="25" t="s">
        <v>64</v>
      </c>
      <c r="F24" s="22" t="s">
        <v>66</v>
      </c>
    </row>
    <row r="25" spans="3:6">
      <c r="C25" s="12"/>
      <c r="D25" s="13"/>
      <c r="E25" s="26"/>
      <c r="F25" s="13"/>
    </row>
    <row r="26" spans="3:6" ht="13.5" thickBot="1">
      <c r="C26" s="23" t="s">
        <v>59</v>
      </c>
      <c r="D26" s="24" t="e">
        <f>D25/C25</f>
        <v>#DIV/0!</v>
      </c>
      <c r="E26" s="27"/>
      <c r="F26" s="24"/>
    </row>
    <row r="27" spans="3:6" ht="13.5" thickBot="1"/>
    <row r="28" spans="3:6" ht="13.5" thickBot="1">
      <c r="C28" s="18"/>
      <c r="D28" s="43" t="s">
        <v>42</v>
      </c>
    </row>
    <row r="29" spans="3:6" ht="13.5" thickBot="1">
      <c r="C29" s="17" t="s">
        <v>41</v>
      </c>
      <c r="D29" s="40"/>
    </row>
    <row r="30" spans="3:6" ht="13.5" thickBot="1"/>
    <row r="31" spans="3:6" ht="13.5" thickBot="1">
      <c r="C31" s="403" t="s">
        <v>43</v>
      </c>
      <c r="D31" s="404"/>
      <c r="E31" s="404"/>
      <c r="F31" s="405"/>
    </row>
    <row r="32" spans="3:6">
      <c r="C32" s="388" t="s">
        <v>45</v>
      </c>
      <c r="D32" s="389"/>
      <c r="E32" s="389"/>
      <c r="F32" s="29"/>
    </row>
    <row r="33" spans="3:6">
      <c r="C33" s="390" t="s">
        <v>60</v>
      </c>
      <c r="D33" s="391"/>
      <c r="E33" s="391"/>
      <c r="F33" s="29"/>
    </row>
    <row r="34" spans="3:6" ht="13.5" thickBot="1">
      <c r="C34" s="390" t="s">
        <v>46</v>
      </c>
      <c r="D34" s="391"/>
      <c r="E34" s="391"/>
      <c r="F34" s="37"/>
    </row>
    <row r="35" spans="3:6">
      <c r="C35" s="392" t="s">
        <v>47</v>
      </c>
      <c r="D35" s="393"/>
      <c r="E35" s="393"/>
      <c r="F35" s="394"/>
    </row>
    <row r="36" spans="3:6">
      <c r="C36" s="388" t="s">
        <v>49</v>
      </c>
      <c r="D36" s="397"/>
      <c r="E36" s="395" t="s">
        <v>63</v>
      </c>
      <c r="F36" s="396"/>
    </row>
    <row r="37" spans="3:6">
      <c r="C37" s="7" t="s">
        <v>61</v>
      </c>
      <c r="D37" s="21" t="s">
        <v>62</v>
      </c>
      <c r="E37" s="41" t="s">
        <v>61</v>
      </c>
      <c r="F37" s="22" t="s">
        <v>62</v>
      </c>
    </row>
    <row r="38" spans="3:6" ht="12.75" customHeight="1" thickBot="1">
      <c r="C38" s="14"/>
      <c r="D38" s="19"/>
      <c r="E38" s="39"/>
      <c r="F38" s="20"/>
    </row>
    <row r="39" spans="3:6">
      <c r="C39" s="424" t="s">
        <v>48</v>
      </c>
      <c r="D39" s="425"/>
      <c r="E39" s="425"/>
      <c r="F39" s="426"/>
    </row>
    <row r="40" spans="3:6">
      <c r="C40" s="427" t="s">
        <v>49</v>
      </c>
      <c r="D40" s="428"/>
      <c r="E40" s="429" t="s">
        <v>43</v>
      </c>
      <c r="F40" s="430"/>
    </row>
    <row r="41" spans="3:6" ht="12.75" customHeight="1" thickBot="1">
      <c r="C41" s="420"/>
      <c r="D41" s="421"/>
      <c r="E41" s="422"/>
      <c r="F41" s="423"/>
    </row>
  </sheetData>
  <mergeCells count="27">
    <mergeCell ref="C41:D41"/>
    <mergeCell ref="E41:F41"/>
    <mergeCell ref="C39:F39"/>
    <mergeCell ref="C40:D40"/>
    <mergeCell ref="E40:F40"/>
    <mergeCell ref="C7:E7"/>
    <mergeCell ref="C6:E6"/>
    <mergeCell ref="C5:F5"/>
    <mergeCell ref="C1:D1"/>
    <mergeCell ref="E1:F1"/>
    <mergeCell ref="D3:F3"/>
    <mergeCell ref="E12:F12"/>
    <mergeCell ref="C12:D12"/>
    <mergeCell ref="C10:E10"/>
    <mergeCell ref="C9:E9"/>
    <mergeCell ref="C8:E8"/>
    <mergeCell ref="C18:D18"/>
    <mergeCell ref="E18:F18"/>
    <mergeCell ref="C23:D23"/>
    <mergeCell ref="E23:F23"/>
    <mergeCell ref="C31:F31"/>
    <mergeCell ref="C32:E32"/>
    <mergeCell ref="C33:E33"/>
    <mergeCell ref="C34:E34"/>
    <mergeCell ref="C35:F35"/>
    <mergeCell ref="E36:F36"/>
    <mergeCell ref="C36:D36"/>
  </mergeCells>
  <conditionalFormatting sqref="D3:D4">
    <cfRule type="cellIs" dxfId="42" priority="27" operator="equal">
      <formula>"Critical"</formula>
    </cfRule>
    <cfRule type="cellIs" dxfId="41" priority="28" operator="between">
      <formula>"Red Level 1"</formula>
      <formula>"Red Level 3"</formula>
    </cfRule>
    <cfRule type="cellIs" dxfId="40" priority="29" operator="between">
      <formula>"Amber Level 1"</formula>
      <formula>"Amber Level 3"</formula>
    </cfRule>
    <cfRule type="cellIs" dxfId="39" priority="30" operator="equal">
      <formula>"Green"</formula>
    </cfRule>
  </conditionalFormatting>
  <conditionalFormatting sqref="D14">
    <cfRule type="cellIs" dxfId="38" priority="19" operator="greaterThanOrEqual">
      <formula>1</formula>
    </cfRule>
    <cfRule type="cellIs" dxfId="37" priority="20" operator="between">
      <formula>0.951</formula>
      <formula>0.999</formula>
    </cfRule>
    <cfRule type="cellIs" dxfId="36" priority="21" operator="between">
      <formula>0.901</formula>
      <formula>0.95</formula>
    </cfRule>
    <cfRule type="cellIs" dxfId="35" priority="22" operator="between">
      <formula>0.85</formula>
      <formula>0.9</formula>
    </cfRule>
  </conditionalFormatting>
  <conditionalFormatting sqref="C14">
    <cfRule type="cellIs" dxfId="34" priority="15" operator="greaterThan">
      <formula>1.05</formula>
    </cfRule>
    <cfRule type="cellIs" dxfId="33" priority="16" operator="between">
      <formula>1</formula>
      <formula>1.05</formula>
    </cfRule>
    <cfRule type="cellIs" dxfId="32" priority="17" operator="between">
      <formula>0.981</formula>
      <formula>0.999</formula>
    </cfRule>
    <cfRule type="cellIs" dxfId="31" priority="18" operator="greaterThanOrEqual">
      <formula>0.98</formula>
    </cfRule>
  </conditionalFormatting>
  <conditionalFormatting sqref="F9">
    <cfRule type="cellIs" dxfId="30" priority="11" operator="greaterThan">
      <formula>10</formula>
    </cfRule>
    <cfRule type="cellIs" dxfId="29" priority="12" operator="between">
      <formula>6</formula>
      <formula>10</formula>
    </cfRule>
    <cfRule type="cellIs" dxfId="28" priority="13" operator="between">
      <formula>3</formula>
      <formula>5</formula>
    </cfRule>
    <cfRule type="cellIs" dxfId="27" priority="14" operator="between">
      <formula>0</formula>
      <formula>2</formula>
    </cfRule>
  </conditionalFormatting>
  <conditionalFormatting sqref="F16">
    <cfRule type="cellIs" dxfId="26" priority="7" operator="equal">
      <formula>0</formula>
    </cfRule>
    <cfRule type="cellIs" dxfId="25" priority="8" operator="equal">
      <formula>2</formula>
    </cfRule>
    <cfRule type="cellIs" dxfId="24" priority="9" operator="equal">
      <formula>1</formula>
    </cfRule>
    <cfRule type="cellIs" dxfId="23" priority="10" operator="greaterThan">
      <formula>2</formula>
    </cfRule>
  </conditionalFormatting>
  <conditionalFormatting sqref="F14">
    <cfRule type="cellIs" dxfId="22" priority="3" operator="greaterThanOrEqual">
      <formula>30</formula>
    </cfRule>
    <cfRule type="cellIs" dxfId="21" priority="4" operator="between">
      <formula>20</formula>
      <formula>29</formula>
    </cfRule>
    <cfRule type="cellIs" dxfId="20" priority="5" operator="between">
      <formula>11</formula>
      <formula>19</formula>
    </cfRule>
    <cfRule type="cellIs" dxfId="19" priority="6" operator="lessThan">
      <formula>11</formula>
    </cfRule>
  </conditionalFormatting>
  <conditionalFormatting sqref="F34">
    <cfRule type="cellIs" dxfId="18" priority="1" operator="lessThan">
      <formula>1</formula>
    </cfRule>
    <cfRule type="cellIs" dxfId="17" priority="2" operator="greaterThanOrEqual">
      <formula>1</formula>
    </cfRule>
  </conditionalFormatting>
  <dataValidations count="3">
    <dataValidation type="list" allowBlank="1" showInputMessage="1" showErrorMessage="1" sqref="D29">
      <formula1>$A$12:$A$13</formula1>
    </dataValidation>
    <dataValidation type="list" allowBlank="1" showInputMessage="1" showErrorMessage="1" sqref="D4:F4">
      <formula1>$A$3:$A$5</formula1>
    </dataValidation>
    <dataValidation type="list" allowBlank="1" showInputMessage="1" showErrorMessage="1" sqref="D3:F3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B1:H27"/>
  <sheetViews>
    <sheetView showGridLines="0" showRowColHeaders="0" workbookViewId="0">
      <selection activeCell="H23" sqref="H23"/>
    </sheetView>
  </sheetViews>
  <sheetFormatPr defaultRowHeight="12.75"/>
  <cols>
    <col min="1" max="1" width="4.42578125" customWidth="1"/>
    <col min="2" max="2" width="79.42578125" customWidth="1"/>
    <col min="3" max="3" width="26.42578125" bestFit="1" customWidth="1"/>
    <col min="4" max="4" width="9.140625" style="174"/>
  </cols>
  <sheetData>
    <row r="1" spans="2:8">
      <c r="B1" s="173" t="s">
        <v>155</v>
      </c>
    </row>
    <row r="2" spans="2:8">
      <c r="B2" s="173"/>
    </row>
    <row r="3" spans="2:8">
      <c r="B3" s="11" t="s">
        <v>174</v>
      </c>
    </row>
    <row r="4" spans="2:8">
      <c r="B4" s="184" t="s">
        <v>156</v>
      </c>
      <c r="H4" s="191" t="s">
        <v>147</v>
      </c>
    </row>
    <row r="6" spans="2:8" ht="13.5" thickBot="1">
      <c r="B6" s="175"/>
      <c r="C6" s="11"/>
    </row>
    <row r="7" spans="2:8">
      <c r="B7" s="431" t="s">
        <v>157</v>
      </c>
      <c r="C7" s="178" t="s">
        <v>158</v>
      </c>
      <c r="D7" s="185">
        <f>'Night Report '!M47</f>
        <v>10</v>
      </c>
    </row>
    <row r="8" spans="2:8">
      <c r="B8" s="432"/>
      <c r="C8" s="179" t="s">
        <v>159</v>
      </c>
      <c r="D8" s="186">
        <f>SUMIF('Night Report '!O29:O46,H4,'Night Report '!L29:L46)</f>
        <v>59</v>
      </c>
    </row>
    <row r="9" spans="2:8" ht="13.5" thickBot="1">
      <c r="B9" s="432"/>
      <c r="C9" s="179" t="s">
        <v>160</v>
      </c>
      <c r="D9" s="186">
        <f>'Night Report '!M57</f>
        <v>34</v>
      </c>
    </row>
    <row r="10" spans="2:8" ht="13.5" thickBot="1">
      <c r="B10" s="433"/>
      <c r="C10" s="176"/>
      <c r="D10" s="189">
        <f>SUM(D7:D9)</f>
        <v>103</v>
      </c>
    </row>
    <row r="11" spans="2:8">
      <c r="B11" s="431" t="s">
        <v>161</v>
      </c>
      <c r="C11" s="181" t="s">
        <v>162</v>
      </c>
      <c r="D11" s="187">
        <f>'Night Report '!E47</f>
        <v>24</v>
      </c>
    </row>
    <row r="12" spans="2:8" ht="13.5" thickBot="1">
      <c r="B12" s="432"/>
      <c r="C12" s="182" t="s">
        <v>163</v>
      </c>
      <c r="D12" s="188">
        <f>'Night Report '!E57</f>
        <v>13</v>
      </c>
    </row>
    <row r="13" spans="2:8" ht="13.5" thickBot="1">
      <c r="B13" s="433"/>
      <c r="C13" s="176"/>
      <c r="D13" s="189">
        <f>D12+D11</f>
        <v>37</v>
      </c>
    </row>
    <row r="14" spans="2:8">
      <c r="B14" s="431" t="s">
        <v>164</v>
      </c>
      <c r="C14" s="181" t="s">
        <v>165</v>
      </c>
      <c r="D14" s="187">
        <f>'Night Report '!D22-'Night Report '!E22</f>
        <v>4</v>
      </c>
    </row>
    <row r="15" spans="2:8" ht="13.5" thickBot="1">
      <c r="B15" s="432"/>
      <c r="C15" s="180" t="s">
        <v>166</v>
      </c>
      <c r="D15" s="186">
        <f>('Night Report '!L22+'Night Report '!L23+'Night Report '!L24+'Night Report '!L25)-('Night Report '!M22+'Night Report '!M23+'Night Report '!M24+'Night Report '!M25)</f>
        <v>15</v>
      </c>
    </row>
    <row r="16" spans="2:8" ht="13.5" thickBot="1">
      <c r="B16" s="433"/>
      <c r="C16" s="176"/>
      <c r="D16" s="189">
        <f>SUM(D14:D15)</f>
        <v>19</v>
      </c>
    </row>
    <row r="17" spans="2:4">
      <c r="B17" s="431" t="s">
        <v>167</v>
      </c>
      <c r="C17" s="183" t="s">
        <v>165</v>
      </c>
      <c r="D17" s="187">
        <f>'Night Report '!E22</f>
        <v>2</v>
      </c>
    </row>
    <row r="18" spans="2:4" ht="13.5" thickBot="1">
      <c r="B18" s="432"/>
      <c r="C18" s="180" t="s">
        <v>166</v>
      </c>
      <c r="D18" s="186">
        <f>'Night Report '!M22+'Night Report '!M23+'Night Report '!M24+'Night Report '!M25</f>
        <v>8</v>
      </c>
    </row>
    <row r="19" spans="2:4" ht="13.5" thickBot="1">
      <c r="B19" s="433"/>
      <c r="C19" s="176"/>
      <c r="D19" s="189">
        <f>D18+D17</f>
        <v>10</v>
      </c>
    </row>
    <row r="20" spans="2:4">
      <c r="B20" s="431" t="s">
        <v>168</v>
      </c>
      <c r="C20" s="183" t="s">
        <v>169</v>
      </c>
      <c r="D20" s="187">
        <f>'Night Report '!D21-'Night Report '!E21</f>
        <v>3</v>
      </c>
    </row>
    <row r="21" spans="2:4" ht="13.5" thickBot="1">
      <c r="B21" s="432"/>
      <c r="C21" s="180" t="s">
        <v>170</v>
      </c>
      <c r="D21" s="186">
        <f>'Night Report '!L21-'Night Report '!M21</f>
        <v>3</v>
      </c>
    </row>
    <row r="22" spans="2:4" ht="13.5" thickBot="1">
      <c r="B22" s="433"/>
      <c r="C22" s="176"/>
      <c r="D22" s="189">
        <f>D21+D20</f>
        <v>6</v>
      </c>
    </row>
    <row r="23" spans="2:4">
      <c r="B23" s="431" t="s">
        <v>171</v>
      </c>
      <c r="C23" s="183" t="s">
        <v>169</v>
      </c>
      <c r="D23" s="187">
        <f>'Night Report '!E21</f>
        <v>17</v>
      </c>
    </row>
    <row r="24" spans="2:4" ht="13.5" thickBot="1">
      <c r="B24" s="432"/>
      <c r="C24" s="180" t="s">
        <v>170</v>
      </c>
      <c r="D24" s="186">
        <f>'Night Report '!M21</f>
        <v>3</v>
      </c>
    </row>
    <row r="25" spans="2:4" ht="13.5" thickBot="1">
      <c r="B25" s="433"/>
      <c r="C25" s="176"/>
      <c r="D25" s="189">
        <f>D24+D23</f>
        <v>20</v>
      </c>
    </row>
    <row r="26" spans="2:4">
      <c r="D26" s="190"/>
    </row>
    <row r="27" spans="2:4">
      <c r="B27" s="177"/>
    </row>
  </sheetData>
  <mergeCells count="6">
    <mergeCell ref="B23:B25"/>
    <mergeCell ref="B7:B10"/>
    <mergeCell ref="B11:B13"/>
    <mergeCell ref="B14:B16"/>
    <mergeCell ref="B17:B19"/>
    <mergeCell ref="B20:B2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A86"/>
  <sheetViews>
    <sheetView showGridLines="0" zoomScale="85" zoomScaleNormal="85" workbookViewId="0">
      <selection activeCell="P21" sqref="P21"/>
    </sheetView>
  </sheetViews>
  <sheetFormatPr defaultColWidth="9.140625" defaultRowHeight="1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/>
    <row r="2" spans="2:27" ht="37.5" customHeight="1" thickBot="1">
      <c r="C2" s="327" t="s">
        <v>75</v>
      </c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9"/>
    </row>
    <row r="3" spans="2:27" s="50" customFormat="1" ht="11.25" customHeight="1" thickBot="1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>
      <c r="C4" s="58" t="s">
        <v>12</v>
      </c>
      <c r="D4" s="330" t="s">
        <v>177</v>
      </c>
      <c r="E4" s="331"/>
      <c r="F4" s="91"/>
      <c r="G4" s="57"/>
      <c r="H4" s="58" t="s">
        <v>0</v>
      </c>
      <c r="I4" s="133">
        <v>0.35416666666666669</v>
      </c>
      <c r="J4" s="4"/>
      <c r="K4" s="58" t="s">
        <v>152</v>
      </c>
      <c r="L4" s="309" t="s">
        <v>182</v>
      </c>
      <c r="M4" s="310"/>
      <c r="N4" s="310"/>
      <c r="O4" s="311"/>
    </row>
    <row r="5" spans="2:27" s="50" customFormat="1" ht="21" customHeight="1" thickBot="1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>
      <c r="B6" s="332" t="s">
        <v>138</v>
      </c>
      <c r="C6" s="333"/>
      <c r="D6" s="333"/>
      <c r="E6" s="333"/>
      <c r="F6" s="333"/>
      <c r="G6" s="334"/>
      <c r="I6" s="318" t="s">
        <v>11</v>
      </c>
      <c r="J6" s="319"/>
      <c r="K6" s="319"/>
      <c r="L6" s="319"/>
      <c r="M6" s="319"/>
      <c r="N6" s="319"/>
      <c r="O6" s="319"/>
      <c r="P6" s="320"/>
      <c r="W6" s="312"/>
      <c r="X6" s="312"/>
      <c r="Y6" s="312"/>
      <c r="Z6" s="312"/>
      <c r="AA6" s="312"/>
    </row>
    <row r="7" spans="2:27" ht="25.5" customHeight="1">
      <c r="B7" s="335" t="s">
        <v>5</v>
      </c>
      <c r="C7" s="336"/>
      <c r="D7" s="336"/>
      <c r="E7" s="336"/>
      <c r="F7" s="336"/>
      <c r="G7" s="127"/>
      <c r="H7" s="50"/>
      <c r="I7" s="342" t="s">
        <v>149</v>
      </c>
      <c r="J7" s="313" t="s">
        <v>9</v>
      </c>
      <c r="K7" s="313"/>
      <c r="L7" s="313" t="s">
        <v>150</v>
      </c>
      <c r="M7" s="313" t="s">
        <v>10</v>
      </c>
      <c r="N7" s="313"/>
      <c r="O7" s="313" t="s">
        <v>143</v>
      </c>
      <c r="P7" s="321" t="s">
        <v>151</v>
      </c>
      <c r="W7" s="1"/>
      <c r="X7" s="1"/>
      <c r="Y7" s="1"/>
      <c r="Z7" s="1"/>
      <c r="AA7" s="1"/>
    </row>
    <row r="8" spans="2:27" ht="22.5" customHeight="1">
      <c r="B8" s="337" t="s">
        <v>4</v>
      </c>
      <c r="C8" s="338"/>
      <c r="D8" s="338"/>
      <c r="E8" s="338"/>
      <c r="F8" s="338"/>
      <c r="G8" s="128">
        <v>4</v>
      </c>
      <c r="H8" s="5"/>
      <c r="I8" s="343"/>
      <c r="J8" s="314"/>
      <c r="K8" s="314"/>
      <c r="L8" s="314"/>
      <c r="M8" s="314"/>
      <c r="N8" s="314"/>
      <c r="O8" s="314"/>
      <c r="P8" s="322"/>
      <c r="W8" s="106"/>
      <c r="X8" s="107"/>
      <c r="Y8" s="108"/>
      <c r="Z8" s="106"/>
      <c r="AA8" s="106"/>
    </row>
    <row r="9" spans="2:27" ht="20.25" customHeight="1">
      <c r="B9" s="337" t="s">
        <v>6</v>
      </c>
      <c r="C9" s="338"/>
      <c r="D9" s="338"/>
      <c r="E9" s="338"/>
      <c r="F9" s="338"/>
      <c r="G9" s="129"/>
      <c r="H9" s="5"/>
      <c r="I9" s="347">
        <v>7</v>
      </c>
      <c r="J9" s="315">
        <v>7.7083333333333337E-2</v>
      </c>
      <c r="K9" s="316"/>
      <c r="L9" s="315">
        <v>2.361111111111111E-2</v>
      </c>
      <c r="M9" s="316">
        <v>1</v>
      </c>
      <c r="N9" s="316"/>
      <c r="O9" s="316">
        <v>0</v>
      </c>
      <c r="P9" s="323">
        <v>12</v>
      </c>
      <c r="W9" s="312"/>
      <c r="X9" s="312"/>
      <c r="Y9" s="312"/>
      <c r="Z9" s="312"/>
      <c r="AA9" s="312"/>
    </row>
    <row r="10" spans="2:27" ht="25.5" customHeight="1" thickBot="1">
      <c r="B10" s="337" t="s">
        <v>141</v>
      </c>
      <c r="C10" s="338"/>
      <c r="D10" s="338"/>
      <c r="E10" s="338"/>
      <c r="F10" s="338"/>
      <c r="G10" s="130"/>
      <c r="H10" s="50"/>
      <c r="I10" s="348"/>
      <c r="J10" s="317"/>
      <c r="K10" s="317"/>
      <c r="L10" s="317"/>
      <c r="M10" s="317"/>
      <c r="N10" s="317"/>
      <c r="O10" s="317"/>
      <c r="P10" s="324"/>
      <c r="W10" s="109"/>
      <c r="X10" s="109"/>
      <c r="Y10" s="109"/>
      <c r="Z10" s="109"/>
      <c r="AA10" s="109"/>
    </row>
    <row r="11" spans="2:27" ht="20.25" customHeight="1" thickBot="1">
      <c r="B11" s="337" t="s">
        <v>140</v>
      </c>
      <c r="C11" s="338"/>
      <c r="D11" s="338"/>
      <c r="E11" s="338"/>
      <c r="F11" s="338"/>
      <c r="G11" s="131"/>
      <c r="H11" s="50"/>
      <c r="I11" s="344" t="s">
        <v>144</v>
      </c>
      <c r="J11" s="345"/>
      <c r="K11" s="345"/>
      <c r="L11" s="345"/>
      <c r="M11" s="345"/>
      <c r="N11" s="345"/>
      <c r="O11" s="346"/>
      <c r="P11" s="50"/>
      <c r="W11" s="50"/>
      <c r="X11" s="50"/>
      <c r="Y11" s="50"/>
      <c r="Z11" s="50"/>
      <c r="AA11" s="50"/>
    </row>
    <row r="12" spans="2:27" ht="20.25" customHeight="1">
      <c r="B12" s="351" t="s">
        <v>142</v>
      </c>
      <c r="C12" s="352"/>
      <c r="D12" s="352"/>
      <c r="E12" s="352"/>
      <c r="F12" s="353"/>
      <c r="G12" s="130"/>
      <c r="H12" s="50"/>
      <c r="I12" s="380" t="s">
        <v>17</v>
      </c>
      <c r="J12" s="382" t="s">
        <v>148</v>
      </c>
      <c r="K12" s="383"/>
      <c r="L12" s="386" t="s">
        <v>7</v>
      </c>
      <c r="M12" s="382" t="s">
        <v>18</v>
      </c>
      <c r="N12" s="383"/>
      <c r="O12" s="339" t="s">
        <v>74</v>
      </c>
      <c r="W12" s="170"/>
      <c r="X12" s="170"/>
      <c r="Y12" s="170"/>
      <c r="Z12" s="170"/>
      <c r="AA12" s="170"/>
    </row>
    <row r="13" spans="2:27" ht="21" customHeight="1" thickBot="1">
      <c r="B13" s="349" t="s">
        <v>82</v>
      </c>
      <c r="C13" s="350"/>
      <c r="D13" s="350"/>
      <c r="E13" s="350"/>
      <c r="F13" s="350"/>
      <c r="G13" s="132"/>
      <c r="H13" s="2"/>
      <c r="I13" s="381"/>
      <c r="J13" s="384"/>
      <c r="K13" s="385"/>
      <c r="L13" s="387"/>
      <c r="M13" s="384"/>
      <c r="N13" s="385"/>
      <c r="O13" s="340"/>
      <c r="U13" s="109"/>
      <c r="V13" s="109"/>
      <c r="W13" s="109"/>
      <c r="X13" s="109"/>
      <c r="Y13" s="109"/>
    </row>
    <row r="14" spans="2:27" ht="24.75" customHeight="1">
      <c r="B14" s="341"/>
      <c r="C14" s="341"/>
      <c r="D14" s="341"/>
      <c r="E14" s="341"/>
      <c r="F14" s="341"/>
      <c r="G14" s="120"/>
      <c r="H14" s="2"/>
      <c r="I14" s="369">
        <v>0</v>
      </c>
      <c r="J14" s="371">
        <v>0</v>
      </c>
      <c r="K14" s="372"/>
      <c r="L14" s="375">
        <v>0</v>
      </c>
      <c r="M14" s="371">
        <v>0</v>
      </c>
      <c r="N14" s="377"/>
      <c r="O14" s="325">
        <v>0</v>
      </c>
      <c r="U14" s="109"/>
      <c r="V14" s="109"/>
      <c r="W14" s="109"/>
      <c r="X14" s="109"/>
      <c r="Y14" s="109"/>
    </row>
    <row r="15" spans="2:27" ht="15" customHeight="1" thickBot="1">
      <c r="H15" s="2"/>
      <c r="I15" s="370"/>
      <c r="J15" s="373"/>
      <c r="K15" s="374"/>
      <c r="L15" s="376"/>
      <c r="M15" s="378"/>
      <c r="N15" s="379"/>
      <c r="O15" s="326"/>
      <c r="V15" s="50"/>
      <c r="W15" s="50"/>
      <c r="X15" s="50"/>
      <c r="Y15" s="50"/>
      <c r="Z15" s="50"/>
    </row>
    <row r="16" spans="2:27" ht="10.5" customHeight="1" thickBot="1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>
      <c r="C17" s="366" t="s">
        <v>133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8"/>
      <c r="R17" s="48"/>
    </row>
    <row r="18" spans="3:18" ht="20.25" customHeight="1" thickBot="1">
      <c r="C18" s="360" t="s">
        <v>153</v>
      </c>
      <c r="D18" s="361"/>
      <c r="E18" s="361"/>
      <c r="F18" s="361"/>
      <c r="G18" s="361"/>
      <c r="H18" s="361"/>
      <c r="I18" s="362"/>
      <c r="J18" s="50"/>
      <c r="K18" s="357" t="s">
        <v>154</v>
      </c>
      <c r="L18" s="358"/>
      <c r="M18" s="358"/>
      <c r="N18" s="358"/>
      <c r="O18" s="358"/>
      <c r="P18" s="358"/>
      <c r="Q18" s="359"/>
      <c r="R18" s="104"/>
    </row>
    <row r="19" spans="3:18" ht="20.25" customHeight="1" thickBot="1">
      <c r="C19" s="366" t="s">
        <v>8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8"/>
      <c r="R19" s="48"/>
    </row>
    <row r="20" spans="3:18" ht="24.75" customHeight="1" thickBot="1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/>
      <c r="H21" s="52"/>
      <c r="I21" s="62"/>
      <c r="J21" s="6"/>
      <c r="K21" s="121" t="s">
        <v>130</v>
      </c>
      <c r="L21" s="122">
        <v>6</v>
      </c>
      <c r="M21" s="123">
        <v>3</v>
      </c>
      <c r="N21" s="100">
        <f t="shared" ref="N21:N25" si="1">IF(ISBLANK(M21)," 0%", (IF(M21,(L21-M21)/L21,1)))</f>
        <v>0.5</v>
      </c>
      <c r="O21" s="124"/>
      <c r="P21" s="124"/>
      <c r="Q21" s="125"/>
    </row>
    <row r="22" spans="3:18" ht="32.25" customHeight="1" thickBot="1">
      <c r="C22" s="137" t="s">
        <v>128</v>
      </c>
      <c r="D22" s="138">
        <v>6</v>
      </c>
      <c r="E22" s="63">
        <v>2</v>
      </c>
      <c r="F22" s="100">
        <f t="shared" si="0"/>
        <v>0.66666666666666663</v>
      </c>
      <c r="G22" s="54"/>
      <c r="H22" s="54"/>
      <c r="I22" s="55"/>
      <c r="J22" s="1"/>
      <c r="K22" s="116" t="s">
        <v>172</v>
      </c>
      <c r="L22" s="112">
        <v>8</v>
      </c>
      <c r="M22" s="63">
        <v>3</v>
      </c>
      <c r="N22" s="100">
        <f t="shared" si="1"/>
        <v>0.625</v>
      </c>
      <c r="O22" s="54"/>
      <c r="P22" s="54"/>
      <c r="Q22" s="55"/>
    </row>
    <row r="23" spans="3:18" ht="32.25" customHeight="1" thickBot="1">
      <c r="C23" s="137"/>
      <c r="D23" s="138"/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>
        <v>3</v>
      </c>
      <c r="N23" s="100">
        <f t="shared" si="1"/>
        <v>0.625</v>
      </c>
      <c r="O23" s="54"/>
      <c r="P23" s="54"/>
      <c r="Q23" s="55"/>
    </row>
    <row r="24" spans="3:18" ht="25.5" customHeight="1" thickBot="1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1</v>
      </c>
      <c r="N24" s="100">
        <f t="shared" si="1"/>
        <v>0.75</v>
      </c>
      <c r="O24" s="54">
        <v>2</v>
      </c>
      <c r="P24" s="54">
        <v>2</v>
      </c>
      <c r="Q24" s="55"/>
    </row>
    <row r="25" spans="3:18" ht="25.5" customHeight="1" thickBot="1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1</v>
      </c>
      <c r="N25" s="164">
        <f t="shared" si="1"/>
        <v>0.66666666666666663</v>
      </c>
      <c r="O25" s="67"/>
      <c r="P25" s="67"/>
      <c r="Q25" s="44"/>
    </row>
    <row r="26" spans="3:18" ht="19.5" customHeight="1" thickBot="1">
      <c r="C26" s="168" t="s">
        <v>135</v>
      </c>
      <c r="D26" s="169">
        <f>SUM(D21:D25)</f>
        <v>26</v>
      </c>
      <c r="E26" s="145">
        <f>SUM(E21:E25)</f>
        <v>19</v>
      </c>
      <c r="F26" s="166">
        <f t="shared" si="0"/>
        <v>0.26923076923076922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11</v>
      </c>
      <c r="N26" s="166">
        <f>IF(ISBLANK(M26)," 0%", (IF(M26,(L26-M26)/L26,1)))</f>
        <v>0.62068965517241381</v>
      </c>
      <c r="O26" s="158">
        <f>SUM(O21:O25)</f>
        <v>2</v>
      </c>
      <c r="P26" s="158">
        <f>SUM(P21:P25)</f>
        <v>2</v>
      </c>
      <c r="Q26" s="167">
        <f>SUM(Q21:Q25)</f>
        <v>0</v>
      </c>
    </row>
    <row r="27" spans="3:18" ht="19.5" customHeight="1" thickBot="1">
      <c r="C27" s="363" t="s">
        <v>134</v>
      </c>
      <c r="D27" s="364"/>
      <c r="E27" s="364"/>
      <c r="F27" s="364"/>
      <c r="G27" s="364"/>
      <c r="H27" s="364"/>
      <c r="I27" s="364"/>
      <c r="J27" s="364"/>
      <c r="K27" s="364"/>
      <c r="L27" s="364"/>
      <c r="M27" s="364"/>
      <c r="N27" s="364"/>
      <c r="O27" s="364"/>
      <c r="P27" s="364"/>
      <c r="Q27" s="365"/>
      <c r="R27" s="104"/>
    </row>
    <row r="28" spans="3:18" ht="25.5" customHeight="1" thickBot="1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>
      <c r="C29" s="148" t="s">
        <v>3</v>
      </c>
      <c r="D29" s="149">
        <v>23</v>
      </c>
      <c r="E29" s="60">
        <v>7</v>
      </c>
      <c r="F29" s="100">
        <f t="shared" ref="F29:F34" si="2">IF(ISBLANK(E29)," 0%", (IF(E29,(D29-E29)/D29,1)))</f>
        <v>0.69565217391304346</v>
      </c>
      <c r="G29" s="52"/>
      <c r="H29" s="52"/>
      <c r="I29" s="62"/>
      <c r="J29" s="50"/>
      <c r="K29" s="98" t="s">
        <v>146</v>
      </c>
      <c r="L29" s="45">
        <v>22</v>
      </c>
      <c r="M29" s="94">
        <v>3</v>
      </c>
      <c r="N29" s="100">
        <f t="shared" ref="N29:N46" si="3">IF(ISBLANK(M29)," 0%", (IF(M29,(L29-M29)/L29,1)))</f>
        <v>0.86363636363636365</v>
      </c>
      <c r="O29" s="52">
        <v>1</v>
      </c>
      <c r="P29" s="52">
        <v>3</v>
      </c>
      <c r="Q29" s="62"/>
    </row>
    <row r="30" spans="3:18" ht="15.75" customHeight="1" thickBot="1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13</v>
      </c>
      <c r="M30" s="63">
        <v>0</v>
      </c>
      <c r="N30" s="100">
        <f t="shared" si="3"/>
        <v>1</v>
      </c>
      <c r="O30" s="53"/>
      <c r="P30" s="53"/>
      <c r="Q30" s="64"/>
    </row>
    <row r="31" spans="3:18" ht="15.75" customHeight="1" thickBot="1">
      <c r="C31" s="150">
        <v>51</v>
      </c>
      <c r="D31" s="151">
        <v>10</v>
      </c>
      <c r="E31" s="59">
        <v>1</v>
      </c>
      <c r="F31" s="100">
        <f>IF(ISBLANK(E31)," 0%", (IF(E31,(D31-E31)/D31,1)))</f>
        <v>0.9</v>
      </c>
      <c r="G31" s="53"/>
      <c r="H31" s="53"/>
      <c r="I31" s="64"/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/>
      <c r="Q31" s="64"/>
    </row>
    <row r="32" spans="3:18" ht="15.75" customHeight="1" thickBot="1">
      <c r="C32" s="150">
        <v>43</v>
      </c>
      <c r="D32" s="151">
        <v>24</v>
      </c>
      <c r="E32" s="63">
        <v>10</v>
      </c>
      <c r="F32" s="100">
        <f t="shared" si="2"/>
        <v>0.58333333333333337</v>
      </c>
      <c r="G32" s="53"/>
      <c r="H32" s="53"/>
      <c r="I32" s="64"/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/>
      <c r="Q32" s="64"/>
    </row>
    <row r="33" spans="3:19" ht="15.75" customHeight="1" thickBot="1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/>
      <c r="I33" s="64"/>
      <c r="J33" s="50"/>
      <c r="K33" s="99">
        <v>34</v>
      </c>
      <c r="L33" s="46">
        <v>12</v>
      </c>
      <c r="M33" s="63">
        <v>3</v>
      </c>
      <c r="N33" s="100">
        <f t="shared" si="3"/>
        <v>0.75</v>
      </c>
      <c r="O33" s="53"/>
      <c r="P33" s="53"/>
      <c r="Q33" s="64"/>
    </row>
    <row r="34" spans="3:19" ht="15.75" customHeight="1" thickBot="1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/>
      <c r="I34" s="64"/>
      <c r="J34" s="50"/>
      <c r="K34" s="99">
        <v>41</v>
      </c>
      <c r="L34" s="46">
        <v>21</v>
      </c>
      <c r="M34" s="63">
        <v>1</v>
      </c>
      <c r="N34" s="100">
        <f t="shared" si="3"/>
        <v>0.95238095238095233</v>
      </c>
      <c r="O34" s="53"/>
      <c r="P34" s="53"/>
      <c r="Q34" s="64"/>
    </row>
    <row r="35" spans="3:19" ht="15.75" customHeight="1" thickBot="1">
      <c r="C35" s="150"/>
      <c r="D35" s="151"/>
      <c r="E35" s="59"/>
      <c r="F35" s="100" t="str">
        <f t="shared" ref="F35:F46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1</v>
      </c>
      <c r="N35" s="100">
        <f t="shared" si="3"/>
        <v>0.95833333333333337</v>
      </c>
      <c r="O35" s="53"/>
      <c r="P35" s="53"/>
      <c r="Q35" s="64"/>
    </row>
    <row r="36" spans="3:19" ht="15.75" customHeight="1" thickBot="1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/>
      <c r="Q36" s="64"/>
      <c r="S36" s="51" t="s">
        <v>1</v>
      </c>
    </row>
    <row r="37" spans="3:19" ht="15.75" customHeight="1" thickBot="1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2</v>
      </c>
      <c r="N37" s="100">
        <f t="shared" si="3"/>
        <v>0.91666666666666663</v>
      </c>
      <c r="O37" s="53">
        <v>0</v>
      </c>
      <c r="P37" s="53">
        <v>0</v>
      </c>
      <c r="Q37" s="64"/>
    </row>
    <row r="38" spans="3:19" ht="15.75" customHeight="1" thickBot="1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>
        <v>1</v>
      </c>
      <c r="P38" s="53">
        <v>1</v>
      </c>
      <c r="Q38" s="64"/>
    </row>
    <row r="39" spans="3:19" ht="15.75" customHeight="1" thickBot="1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0</v>
      </c>
      <c r="N39" s="100">
        <f t="shared" si="3"/>
        <v>1</v>
      </c>
      <c r="O39" s="53">
        <v>0</v>
      </c>
      <c r="P39" s="53">
        <v>6</v>
      </c>
      <c r="Q39" s="64"/>
    </row>
    <row r="40" spans="3:19" ht="15.75" customHeight="1" thickBot="1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0</v>
      </c>
      <c r="N40" s="100">
        <f t="shared" si="3"/>
        <v>1</v>
      </c>
      <c r="O40" s="53">
        <v>0</v>
      </c>
      <c r="P40" s="53">
        <v>6</v>
      </c>
      <c r="Q40" s="64"/>
    </row>
    <row r="41" spans="3:19" ht="15.75" customHeight="1" thickBot="1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0</v>
      </c>
      <c r="N41" s="100">
        <f t="shared" si="3"/>
        <v>1</v>
      </c>
      <c r="O41" s="53">
        <v>0</v>
      </c>
      <c r="P41" s="53">
        <v>6</v>
      </c>
      <c r="Q41" s="64"/>
    </row>
    <row r="42" spans="3:19" ht="15.75" customHeight="1" thickBot="1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10</v>
      </c>
      <c r="M42" s="63"/>
      <c r="N42" s="100" t="str">
        <f t="shared" si="3"/>
        <v xml:space="preserve"> 0%</v>
      </c>
      <c r="O42" s="49" t="s">
        <v>147</v>
      </c>
      <c r="P42" s="53"/>
      <c r="Q42" s="64"/>
    </row>
    <row r="43" spans="3:19" ht="15.75" customHeight="1" thickBot="1">
      <c r="C43" s="150"/>
      <c r="D43" s="151"/>
      <c r="E43" s="59"/>
      <c r="F43" s="100" t="str">
        <f t="shared" si="4"/>
        <v xml:space="preserve"> 0%</v>
      </c>
      <c r="G43" s="53"/>
      <c r="H43" s="53"/>
      <c r="I43" s="55"/>
      <c r="J43" s="50"/>
      <c r="K43" s="99" t="s">
        <v>68</v>
      </c>
      <c r="L43" s="61">
        <v>10</v>
      </c>
      <c r="M43" s="63"/>
      <c r="N43" s="100" t="str">
        <f t="shared" si="3"/>
        <v xml:space="preserve"> 0%</v>
      </c>
      <c r="O43" s="49" t="s">
        <v>147</v>
      </c>
      <c r="P43" s="53"/>
      <c r="Q43" s="64"/>
    </row>
    <row r="44" spans="3:19" ht="15.75" customHeight="1" thickBot="1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>
        <v>9</v>
      </c>
      <c r="L44" s="61">
        <v>11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10</v>
      </c>
      <c r="L45" s="61">
        <v>16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>
      <c r="C46" s="152"/>
      <c r="D46" s="142"/>
      <c r="E46" s="93"/>
      <c r="F46" s="100" t="str">
        <f t="shared" si="4"/>
        <v xml:space="preserve"> 0%</v>
      </c>
      <c r="G46" s="8"/>
      <c r="H46" s="8"/>
      <c r="I46" s="66"/>
      <c r="J46" s="50"/>
      <c r="K46" s="99">
        <v>13</v>
      </c>
      <c r="L46" s="61">
        <v>12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>
      <c r="C47" s="143" t="s">
        <v>135</v>
      </c>
      <c r="D47" s="144">
        <f>SUM(D29:D46)</f>
        <v>86</v>
      </c>
      <c r="E47" s="145">
        <f>SUM(E29:E46)</f>
        <v>24</v>
      </c>
      <c r="F47" s="100">
        <f>IF(ISBLANK(E47)," 0%", (IF(E47,(D47-E47)/D47,1)))</f>
        <v>0.72093023255813948</v>
      </c>
      <c r="G47" s="146">
        <f>SUM(G29:G46)</f>
        <v>0</v>
      </c>
      <c r="H47" s="146">
        <f>SUM(H29:H46)</f>
        <v>0</v>
      </c>
      <c r="I47" s="146">
        <f>SUM(I29:I46)</f>
        <v>0</v>
      </c>
      <c r="J47" s="141"/>
      <c r="K47" s="147" t="s">
        <v>135</v>
      </c>
      <c r="L47" s="144">
        <f>SUM(L29:L46)</f>
        <v>349</v>
      </c>
      <c r="M47" s="145">
        <f>SUM(M29:M46)</f>
        <v>10</v>
      </c>
      <c r="N47" s="100">
        <f>IF(ISBLANK(M47)," 0%", (IF(M47,(L47-M47)/L47,1)))</f>
        <v>0.97134670487106012</v>
      </c>
      <c r="O47" s="146">
        <f>SUM(O29:O46)</f>
        <v>2</v>
      </c>
      <c r="P47" s="146">
        <f>SUM(P29:P46)</f>
        <v>22</v>
      </c>
      <c r="Q47" s="146">
        <f>SUM(Q29:Q46)</f>
        <v>0</v>
      </c>
    </row>
    <row r="48" spans="3:19" ht="18.75" customHeight="1" thickBot="1">
      <c r="C48" s="354" t="s">
        <v>145</v>
      </c>
      <c r="D48" s="355"/>
      <c r="E48" s="355"/>
      <c r="F48" s="355"/>
      <c r="G48" s="355"/>
      <c r="H48" s="355"/>
      <c r="I48" s="355"/>
      <c r="J48" s="355"/>
      <c r="K48" s="355"/>
      <c r="L48" s="355"/>
      <c r="M48" s="355"/>
      <c r="N48" s="355"/>
      <c r="O48" s="355"/>
      <c r="P48" s="355"/>
      <c r="Q48" s="356"/>
      <c r="R48" s="48"/>
    </row>
    <row r="49" spans="3:18" ht="29.25" customHeight="1" thickBot="1">
      <c r="C49" s="153" t="s">
        <v>2</v>
      </c>
      <c r="D49" s="153" t="s">
        <v>13</v>
      </c>
      <c r="E49" s="95" t="s">
        <v>73</v>
      </c>
      <c r="F49" s="95" t="s">
        <v>16</v>
      </c>
      <c r="G49" s="95" t="s">
        <v>69</v>
      </c>
      <c r="H49" s="95" t="s">
        <v>77</v>
      </c>
      <c r="I49" s="95" t="s">
        <v>70</v>
      </c>
      <c r="J49" s="1"/>
      <c r="K49" s="126" t="s">
        <v>2</v>
      </c>
      <c r="L49" s="126" t="s">
        <v>13</v>
      </c>
      <c r="M49" s="126" t="s">
        <v>73</v>
      </c>
      <c r="N49" s="126" t="s">
        <v>137</v>
      </c>
      <c r="O49" s="192" t="s">
        <v>16</v>
      </c>
      <c r="P49" s="126" t="s">
        <v>69</v>
      </c>
      <c r="Q49" s="126" t="s">
        <v>77</v>
      </c>
      <c r="R49" s="117"/>
    </row>
    <row r="50" spans="3:18" ht="23.25" customHeight="1" thickBot="1">
      <c r="C50" s="154" t="s">
        <v>175</v>
      </c>
      <c r="D50" s="149">
        <v>4</v>
      </c>
      <c r="E50" s="60">
        <v>3</v>
      </c>
      <c r="F50" s="100">
        <f t="shared" ref="F50:F57" si="5">IF(ISBLANK(E50)," 0%", (IF(E50,(D50-E50)/D50,1)))</f>
        <v>0.25</v>
      </c>
      <c r="G50" s="52"/>
      <c r="H50" s="52"/>
      <c r="I50" s="62"/>
      <c r="J50" s="50"/>
      <c r="K50" s="103" t="s">
        <v>175</v>
      </c>
      <c r="L50" s="45">
        <v>5</v>
      </c>
      <c r="M50" s="60">
        <v>2</v>
      </c>
      <c r="N50" s="100">
        <f t="shared" ref="N50:N57" si="6">IF(ISBLANK(M50)," 0%", (IF(M50,(L50-M50)/L50,1)))</f>
        <v>0.6</v>
      </c>
      <c r="O50" s="52"/>
      <c r="P50" s="52"/>
      <c r="Q50" s="62"/>
    </row>
    <row r="51" spans="3:18" ht="26.25" customHeight="1" thickBot="1">
      <c r="C51" s="155" t="s">
        <v>80</v>
      </c>
      <c r="D51" s="151">
        <v>8</v>
      </c>
      <c r="E51" s="59">
        <v>7</v>
      </c>
      <c r="F51" s="100">
        <f t="shared" si="5"/>
        <v>0.125</v>
      </c>
      <c r="G51" s="53"/>
      <c r="H51" s="53"/>
      <c r="I51" s="64"/>
      <c r="J51" s="1"/>
      <c r="K51" s="102" t="s">
        <v>176</v>
      </c>
      <c r="L51" s="46">
        <v>10</v>
      </c>
      <c r="M51" s="59">
        <v>7</v>
      </c>
      <c r="N51" s="100">
        <f t="shared" si="6"/>
        <v>0.3</v>
      </c>
      <c r="O51" s="53"/>
      <c r="P51" s="53"/>
      <c r="Q51" s="64"/>
    </row>
    <row r="52" spans="3:18" ht="28.5" customHeight="1" thickBot="1">
      <c r="C52" s="155" t="s">
        <v>15</v>
      </c>
      <c r="D52" s="151">
        <v>3</v>
      </c>
      <c r="E52" s="59">
        <v>3</v>
      </c>
      <c r="F52" s="100">
        <f>IF(ISBLANK(E52)," 0%", (IF(E52,(D52-E52)/D52,1)))</f>
        <v>0</v>
      </c>
      <c r="G52" s="53"/>
      <c r="H52" s="53"/>
      <c r="I52" s="55"/>
      <c r="J52" s="9"/>
      <c r="K52" s="101" t="s">
        <v>86</v>
      </c>
      <c r="L52" s="46">
        <v>4</v>
      </c>
      <c r="M52" s="59">
        <v>3</v>
      </c>
      <c r="N52" s="100">
        <f t="shared" si="6"/>
        <v>0.25</v>
      </c>
      <c r="O52" s="53"/>
      <c r="P52" s="53"/>
      <c r="Q52" s="64"/>
    </row>
    <row r="53" spans="3:18" ht="27.75" customHeight="1" thickBot="1">
      <c r="C53" s="155"/>
      <c r="D53" s="151"/>
      <c r="E53" s="59"/>
      <c r="F53" s="100" t="str">
        <f>IF(ISBLANK(E53)," 0%", (IF(E53,(D53-E53)/D53,1)))</f>
        <v xml:space="preserve"> 0%</v>
      </c>
      <c r="G53" s="53"/>
      <c r="H53" s="53"/>
      <c r="I53" s="55"/>
      <c r="J53" s="9"/>
      <c r="K53" s="101" t="s">
        <v>79</v>
      </c>
      <c r="L53" s="46">
        <v>3</v>
      </c>
      <c r="M53" s="59">
        <v>2</v>
      </c>
      <c r="N53" s="100">
        <f t="shared" si="6"/>
        <v>0.33333333333333331</v>
      </c>
      <c r="O53" s="53"/>
      <c r="P53" s="53"/>
      <c r="Q53" s="64"/>
    </row>
    <row r="54" spans="3:18" ht="23.25" customHeight="1" thickBot="1">
      <c r="C54" s="163"/>
      <c r="D54" s="156"/>
      <c r="E54" s="93"/>
      <c r="F54" s="164" t="str">
        <f t="shared" ref="F54" si="7">IF(ISBLANK(E54)," 0%", (IF(E54,(D54-E54)/D54,1)))</f>
        <v xml:space="preserve"> 0%</v>
      </c>
      <c r="G54" s="67"/>
      <c r="H54" s="67"/>
      <c r="I54" s="66"/>
      <c r="J54" s="50"/>
      <c r="K54" s="101" t="s">
        <v>14</v>
      </c>
      <c r="L54" s="46">
        <v>21</v>
      </c>
      <c r="M54" s="59">
        <v>0</v>
      </c>
      <c r="N54" s="100">
        <f t="shared" ref="N54" si="8">IF(ISBLANK(M54)," 0%", (IF(M54,(L54-M54)/L54,1)))</f>
        <v>1</v>
      </c>
      <c r="O54" s="10"/>
      <c r="P54" s="8"/>
      <c r="Q54" s="66"/>
    </row>
    <row r="55" spans="3:18" ht="28.5" customHeight="1" thickBot="1">
      <c r="C55" s="155"/>
      <c r="D55" s="151"/>
      <c r="E55" s="59"/>
      <c r="F55" s="100" t="str">
        <f>IF(ISBLANK(E55)," 0%", (IF(E55,(D55-E55)/D55,1)))</f>
        <v xml:space="preserve"> 0%</v>
      </c>
      <c r="G55" s="53"/>
      <c r="H55" s="53"/>
      <c r="I55" s="64"/>
      <c r="J55" s="1"/>
      <c r="K55" s="102" t="s">
        <v>80</v>
      </c>
      <c r="L55" s="46">
        <v>16</v>
      </c>
      <c r="M55" s="59">
        <v>8</v>
      </c>
      <c r="N55" s="100">
        <f t="shared" si="6"/>
        <v>0.5</v>
      </c>
      <c r="O55" s="53"/>
      <c r="P55" s="53"/>
      <c r="Q55" s="64"/>
    </row>
    <row r="56" spans="3:18" ht="23.25" customHeight="1" thickBot="1">
      <c r="C56" s="163"/>
      <c r="D56" s="156"/>
      <c r="E56" s="93"/>
      <c r="F56" s="164" t="str">
        <f t="shared" si="5"/>
        <v xml:space="preserve"> 0%</v>
      </c>
      <c r="G56" s="67"/>
      <c r="H56" s="67"/>
      <c r="I56" s="66"/>
      <c r="J56" s="50"/>
      <c r="K56" s="92" t="s">
        <v>15</v>
      </c>
      <c r="L56" s="47">
        <v>17</v>
      </c>
      <c r="M56" s="93">
        <v>12</v>
      </c>
      <c r="N56" s="100">
        <f t="shared" si="6"/>
        <v>0.29411764705882354</v>
      </c>
      <c r="O56" s="10"/>
      <c r="P56" s="8"/>
      <c r="Q56" s="66"/>
    </row>
    <row r="57" spans="3:18" ht="17.25" customHeight="1" thickBot="1">
      <c r="C57" s="165" t="s">
        <v>135</v>
      </c>
      <c r="D57" s="157">
        <f>SUM(D50:D56)</f>
        <v>15</v>
      </c>
      <c r="E57" s="145">
        <f>SUM(E50:E56)</f>
        <v>13</v>
      </c>
      <c r="F57" s="166">
        <f t="shared" si="5"/>
        <v>0.13333333333333333</v>
      </c>
      <c r="G57" s="158">
        <f>SUM(G50:G56)</f>
        <v>0</v>
      </c>
      <c r="H57" s="158">
        <f t="shared" ref="H57:I57" si="9">SUM(H50:H56)</f>
        <v>0</v>
      </c>
      <c r="I57" s="167">
        <f t="shared" si="9"/>
        <v>0</v>
      </c>
      <c r="J57" s="159"/>
      <c r="K57" s="160" t="s">
        <v>135</v>
      </c>
      <c r="L57" s="144">
        <f>SUM(L50:L56)</f>
        <v>76</v>
      </c>
      <c r="M57" s="145">
        <f>SUM(M50:M56)</f>
        <v>34</v>
      </c>
      <c r="N57" s="166">
        <f t="shared" si="6"/>
        <v>0.55263157894736847</v>
      </c>
      <c r="O57" s="157"/>
      <c r="P57" s="146"/>
      <c r="Q57" s="161"/>
      <c r="R57" s="162"/>
    </row>
    <row r="58" spans="3:18" ht="20.25" customHeight="1">
      <c r="C58" s="162"/>
      <c r="D58" s="162"/>
      <c r="E58" s="162"/>
      <c r="F58" s="141"/>
      <c r="G58" s="141"/>
      <c r="H58" s="141"/>
      <c r="I58" s="162"/>
      <c r="J58" s="162"/>
      <c r="K58" s="162"/>
      <c r="L58" s="162"/>
      <c r="M58" s="162"/>
      <c r="N58" s="162"/>
      <c r="O58" s="162"/>
      <c r="P58" s="162"/>
      <c r="Q58" s="162"/>
      <c r="R58" s="162"/>
    </row>
    <row r="59" spans="3:18" ht="12.75" customHeight="1"/>
    <row r="60" spans="3:18" ht="24" customHeight="1"/>
    <row r="61" spans="3:18" ht="24" customHeight="1"/>
    <row r="62" spans="3:18" ht="24" customHeight="1"/>
    <row r="63" spans="3:18" ht="24" customHeight="1"/>
    <row r="64" spans="3:18" ht="24" customHeight="1"/>
    <row r="65" spans="3:3" ht="24" customHeight="1">
      <c r="C65" s="51" t="s">
        <v>1</v>
      </c>
    </row>
    <row r="66" spans="3:3" ht="24" customHeight="1"/>
    <row r="67" spans="3:3" ht="24" customHeight="1"/>
    <row r="68" spans="3:3" ht="24" customHeight="1">
      <c r="C68" s="51" t="s">
        <v>1</v>
      </c>
    </row>
    <row r="69" spans="3:3" ht="24" customHeight="1">
      <c r="C69" s="51" t="s">
        <v>1</v>
      </c>
    </row>
    <row r="70" spans="3:3" ht="24" customHeight="1"/>
    <row r="71" spans="3:3" ht="15.75" customHeight="1"/>
    <row r="74" spans="3:3" ht="12" customHeight="1"/>
    <row r="75" spans="3:3" ht="12.75" customHeight="1"/>
    <row r="79" spans="3:3" ht="12" customHeight="1"/>
    <row r="80" spans="3:3" ht="12" customHeight="1"/>
    <row r="81" ht="12.75" customHeight="1"/>
    <row r="84" ht="12" customHeight="1"/>
    <row r="85" ht="12" customHeight="1"/>
    <row r="86" ht="12.75" customHeight="1"/>
  </sheetData>
  <sheetProtection password="9D31" sheet="1" objects="1" scenarios="1" selectLockedCells="1"/>
  <mergeCells count="44">
    <mergeCell ref="C27:Q27"/>
    <mergeCell ref="O14:O15"/>
    <mergeCell ref="C17:Q17"/>
    <mergeCell ref="C18:I18"/>
    <mergeCell ref="K18:Q18"/>
    <mergeCell ref="C19:Q19"/>
    <mergeCell ref="M14:N15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C48:Q48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</mergeCells>
  <conditionalFormatting sqref="F48:F54 N48:N54 N28:N46 F21:F25 N21:N25 F28:F46">
    <cfRule type="cellIs" dxfId="16" priority="4" operator="between">
      <formula>0.9</formula>
      <formula>1</formula>
    </cfRule>
  </conditionalFormatting>
  <conditionalFormatting sqref="F50:F56 N50:N56">
    <cfRule type="cellIs" dxfId="15" priority="3" operator="between">
      <formula>0.9</formula>
      <formula>1</formula>
    </cfRule>
  </conditionalFormatting>
  <conditionalFormatting sqref="F50:F56 N50:N56">
    <cfRule type="cellIs" dxfId="14" priority="2" operator="between">
      <formula>0.9</formula>
      <formula>1</formula>
    </cfRule>
  </conditionalFormatting>
  <conditionalFormatting sqref="F29:F34">
    <cfRule type="cellIs" dxfId="13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5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A86"/>
  <sheetViews>
    <sheetView showGridLines="0" topLeftCell="A13" zoomScale="85" zoomScaleNormal="85" workbookViewId="0">
      <selection activeCell="M42" sqref="M42"/>
    </sheetView>
  </sheetViews>
  <sheetFormatPr defaultColWidth="9.140625" defaultRowHeight="1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/>
    <row r="2" spans="2:27" ht="37.5" customHeight="1" thickBot="1">
      <c r="C2" s="327" t="s">
        <v>75</v>
      </c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9"/>
    </row>
    <row r="3" spans="2:27" s="50" customFormat="1" ht="11.25" customHeight="1" thickBot="1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>
      <c r="C4" s="58" t="s">
        <v>12</v>
      </c>
      <c r="D4" s="330">
        <v>43977</v>
      </c>
      <c r="E4" s="331"/>
      <c r="F4" s="91"/>
      <c r="G4" s="57"/>
      <c r="H4" s="58" t="s">
        <v>0</v>
      </c>
      <c r="I4" s="133">
        <v>0.54166666666666663</v>
      </c>
      <c r="J4" s="4"/>
      <c r="K4" s="58" t="s">
        <v>152</v>
      </c>
      <c r="L4" s="309" t="s">
        <v>186</v>
      </c>
      <c r="M4" s="310"/>
      <c r="N4" s="310"/>
      <c r="O4" s="311"/>
    </row>
    <row r="5" spans="2:27" s="50" customFormat="1" ht="21" customHeight="1" thickBot="1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>
      <c r="B6" s="332" t="s">
        <v>138</v>
      </c>
      <c r="C6" s="333"/>
      <c r="D6" s="333"/>
      <c r="E6" s="333"/>
      <c r="F6" s="333"/>
      <c r="G6" s="334"/>
      <c r="I6" s="318" t="s">
        <v>11</v>
      </c>
      <c r="J6" s="319"/>
      <c r="K6" s="319"/>
      <c r="L6" s="319"/>
      <c r="M6" s="319"/>
      <c r="N6" s="319"/>
      <c r="O6" s="319"/>
      <c r="P6" s="320"/>
      <c r="W6" s="312"/>
      <c r="X6" s="312"/>
      <c r="Y6" s="312"/>
      <c r="Z6" s="312"/>
      <c r="AA6" s="312"/>
    </row>
    <row r="7" spans="2:27" ht="25.5" customHeight="1">
      <c r="B7" s="335" t="s">
        <v>5</v>
      </c>
      <c r="C7" s="336"/>
      <c r="D7" s="336"/>
      <c r="E7" s="336"/>
      <c r="F7" s="336"/>
      <c r="G7" s="127"/>
      <c r="H7" s="50"/>
      <c r="I7" s="342" t="s">
        <v>149</v>
      </c>
      <c r="J7" s="313" t="s">
        <v>9</v>
      </c>
      <c r="K7" s="313"/>
      <c r="L7" s="313" t="s">
        <v>150</v>
      </c>
      <c r="M7" s="313" t="s">
        <v>10</v>
      </c>
      <c r="N7" s="313"/>
      <c r="O7" s="313" t="s">
        <v>143</v>
      </c>
      <c r="P7" s="321" t="s">
        <v>151</v>
      </c>
      <c r="W7" s="1"/>
      <c r="X7" s="1"/>
      <c r="Y7" s="1"/>
      <c r="Z7" s="1"/>
      <c r="AA7" s="1"/>
    </row>
    <row r="8" spans="2:27" ht="22.5" customHeight="1">
      <c r="B8" s="337" t="s">
        <v>4</v>
      </c>
      <c r="C8" s="338"/>
      <c r="D8" s="338"/>
      <c r="E8" s="338"/>
      <c r="F8" s="338"/>
      <c r="G8" s="128"/>
      <c r="H8" s="5"/>
      <c r="I8" s="343"/>
      <c r="J8" s="314"/>
      <c r="K8" s="314"/>
      <c r="L8" s="314"/>
      <c r="M8" s="314"/>
      <c r="N8" s="314"/>
      <c r="O8" s="314"/>
      <c r="P8" s="322"/>
      <c r="W8" s="106"/>
      <c r="X8" s="107"/>
      <c r="Y8" s="108"/>
      <c r="Z8" s="106"/>
      <c r="AA8" s="106"/>
    </row>
    <row r="9" spans="2:27" ht="20.25" customHeight="1">
      <c r="B9" s="337" t="s">
        <v>6</v>
      </c>
      <c r="C9" s="338"/>
      <c r="D9" s="338"/>
      <c r="E9" s="338"/>
      <c r="F9" s="338"/>
      <c r="G9" s="129"/>
      <c r="H9" s="5"/>
      <c r="I9" s="347">
        <v>21</v>
      </c>
      <c r="J9" s="316" t="s">
        <v>187</v>
      </c>
      <c r="K9" s="316"/>
      <c r="L9" s="316" t="s">
        <v>188</v>
      </c>
      <c r="M9" s="316">
        <v>4</v>
      </c>
      <c r="N9" s="316"/>
      <c r="O9" s="316"/>
      <c r="P9" s="323">
        <v>49</v>
      </c>
      <c r="W9" s="312"/>
      <c r="X9" s="312"/>
      <c r="Y9" s="312"/>
      <c r="Z9" s="312"/>
      <c r="AA9" s="312"/>
    </row>
    <row r="10" spans="2:27" ht="25.5" customHeight="1" thickBot="1">
      <c r="B10" s="337" t="s">
        <v>141</v>
      </c>
      <c r="C10" s="338"/>
      <c r="D10" s="338"/>
      <c r="E10" s="338"/>
      <c r="F10" s="338"/>
      <c r="G10" s="130">
        <v>20</v>
      </c>
      <c r="H10" s="50"/>
      <c r="I10" s="348"/>
      <c r="J10" s="317"/>
      <c r="K10" s="317"/>
      <c r="L10" s="317"/>
      <c r="M10" s="317"/>
      <c r="N10" s="317"/>
      <c r="O10" s="317"/>
      <c r="P10" s="324"/>
      <c r="W10" s="109"/>
      <c r="X10" s="109"/>
      <c r="Y10" s="109"/>
      <c r="Z10" s="109"/>
      <c r="AA10" s="109"/>
    </row>
    <row r="11" spans="2:27" ht="20.25" customHeight="1" thickBot="1">
      <c r="B11" s="337" t="s">
        <v>140</v>
      </c>
      <c r="C11" s="338"/>
      <c r="D11" s="338"/>
      <c r="E11" s="338"/>
      <c r="F11" s="338"/>
      <c r="G11" s="131"/>
      <c r="H11" s="50"/>
      <c r="I11" s="344" t="s">
        <v>144</v>
      </c>
      <c r="J11" s="345"/>
      <c r="K11" s="345"/>
      <c r="L11" s="345"/>
      <c r="M11" s="345"/>
      <c r="N11" s="345"/>
      <c r="O11" s="346"/>
      <c r="P11" s="50"/>
      <c r="W11" s="50"/>
      <c r="X11" s="50"/>
      <c r="Y11" s="50"/>
      <c r="Z11" s="50"/>
      <c r="AA11" s="50"/>
    </row>
    <row r="12" spans="2:27" ht="20.25" customHeight="1">
      <c r="B12" s="351" t="s">
        <v>142</v>
      </c>
      <c r="C12" s="352"/>
      <c r="D12" s="352"/>
      <c r="E12" s="352"/>
      <c r="F12" s="353"/>
      <c r="G12" s="130"/>
      <c r="H12" s="50"/>
      <c r="I12" s="380" t="s">
        <v>17</v>
      </c>
      <c r="J12" s="382" t="s">
        <v>148</v>
      </c>
      <c r="K12" s="383"/>
      <c r="L12" s="386" t="s">
        <v>7</v>
      </c>
      <c r="M12" s="382" t="s">
        <v>18</v>
      </c>
      <c r="N12" s="383"/>
      <c r="O12" s="339" t="s">
        <v>74</v>
      </c>
      <c r="W12" s="170"/>
      <c r="X12" s="170"/>
      <c r="Y12" s="170"/>
      <c r="Z12" s="170"/>
      <c r="AA12" s="170"/>
    </row>
    <row r="13" spans="2:27" ht="21" customHeight="1" thickBot="1">
      <c r="B13" s="349" t="s">
        <v>82</v>
      </c>
      <c r="C13" s="350"/>
      <c r="D13" s="350"/>
      <c r="E13" s="350"/>
      <c r="F13" s="350"/>
      <c r="G13" s="132"/>
      <c r="H13" s="2"/>
      <c r="I13" s="381"/>
      <c r="J13" s="384"/>
      <c r="K13" s="385"/>
      <c r="L13" s="387"/>
      <c r="M13" s="384"/>
      <c r="N13" s="385"/>
      <c r="O13" s="340"/>
      <c r="U13" s="109"/>
      <c r="V13" s="109"/>
      <c r="W13" s="109"/>
      <c r="X13" s="109"/>
      <c r="Y13" s="109"/>
    </row>
    <row r="14" spans="2:27" ht="24.75" customHeight="1">
      <c r="B14" s="341"/>
      <c r="C14" s="341"/>
      <c r="D14" s="341"/>
      <c r="E14" s="341"/>
      <c r="F14" s="341"/>
      <c r="G14" s="120"/>
      <c r="H14" s="2"/>
      <c r="I14" s="369">
        <v>1</v>
      </c>
      <c r="J14" s="371"/>
      <c r="K14" s="372"/>
      <c r="L14" s="375"/>
      <c r="M14" s="371">
        <v>1</v>
      </c>
      <c r="N14" s="377"/>
      <c r="O14" s="325">
        <v>3</v>
      </c>
      <c r="U14" s="109"/>
      <c r="V14" s="109"/>
      <c r="W14" s="109"/>
      <c r="X14" s="109"/>
      <c r="Y14" s="109"/>
    </row>
    <row r="15" spans="2:27" ht="15" customHeight="1" thickBot="1">
      <c r="H15" s="2"/>
      <c r="I15" s="370"/>
      <c r="J15" s="373"/>
      <c r="K15" s="374"/>
      <c r="L15" s="376"/>
      <c r="M15" s="378"/>
      <c r="N15" s="379"/>
      <c r="O15" s="326"/>
      <c r="V15" s="50"/>
      <c r="W15" s="50"/>
      <c r="X15" s="50"/>
      <c r="Y15" s="50"/>
      <c r="Z15" s="50"/>
    </row>
    <row r="16" spans="2:27" ht="10.5" customHeight="1" thickBot="1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>
      <c r="C17" s="366" t="s">
        <v>133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8"/>
      <c r="R17" s="48"/>
    </row>
    <row r="18" spans="3:18" ht="20.25" customHeight="1" thickBot="1">
      <c r="C18" s="360" t="s">
        <v>153</v>
      </c>
      <c r="D18" s="361"/>
      <c r="E18" s="361"/>
      <c r="F18" s="361"/>
      <c r="G18" s="361"/>
      <c r="H18" s="361"/>
      <c r="I18" s="362"/>
      <c r="J18" s="50"/>
      <c r="K18" s="357" t="s">
        <v>154</v>
      </c>
      <c r="L18" s="358"/>
      <c r="M18" s="358"/>
      <c r="N18" s="358"/>
      <c r="O18" s="358"/>
      <c r="P18" s="358"/>
      <c r="Q18" s="359"/>
      <c r="R18" s="104"/>
    </row>
    <row r="19" spans="3:18" ht="20.25" customHeight="1" thickBot="1">
      <c r="C19" s="366" t="s">
        <v>8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8"/>
      <c r="R19" s="48"/>
    </row>
    <row r="20" spans="3:18" ht="24.75" customHeight="1" thickBot="1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/>
      <c r="H21" s="52"/>
      <c r="I21" s="62"/>
      <c r="J21" s="6"/>
      <c r="K21" s="121" t="s">
        <v>130</v>
      </c>
      <c r="L21" s="122">
        <v>6</v>
      </c>
      <c r="M21" s="123">
        <v>4</v>
      </c>
      <c r="N21" s="100">
        <f t="shared" ref="N21:N25" si="1">IF(ISBLANK(M21)," 0%", (IF(M21,(L21-M21)/L21,1)))</f>
        <v>0.33333333333333331</v>
      </c>
      <c r="O21" s="124">
        <v>2</v>
      </c>
      <c r="P21" s="124">
        <v>2</v>
      </c>
      <c r="Q21" s="125"/>
    </row>
    <row r="22" spans="3:18" ht="32.25" customHeight="1" thickBot="1">
      <c r="C22" s="137" t="s">
        <v>128</v>
      </c>
      <c r="D22" s="138">
        <v>6</v>
      </c>
      <c r="E22" s="63">
        <v>3</v>
      </c>
      <c r="F22" s="100">
        <f t="shared" si="0"/>
        <v>0.5</v>
      </c>
      <c r="G22" s="54"/>
      <c r="H22" s="54"/>
      <c r="I22" s="55"/>
      <c r="J22" s="1"/>
      <c r="K22" s="116" t="s">
        <v>172</v>
      </c>
      <c r="L22" s="112">
        <v>8</v>
      </c>
      <c r="M22" s="63">
        <v>3</v>
      </c>
      <c r="N22" s="100">
        <f t="shared" si="1"/>
        <v>0.625</v>
      </c>
      <c r="O22" s="54"/>
      <c r="P22" s="54"/>
      <c r="Q22" s="55">
        <v>1</v>
      </c>
    </row>
    <row r="23" spans="3:18" ht="32.25" customHeight="1" thickBot="1">
      <c r="C23" s="137"/>
      <c r="D23" s="138"/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>
        <v>1</v>
      </c>
      <c r="N23" s="100">
        <f t="shared" si="1"/>
        <v>0.875</v>
      </c>
      <c r="O23" s="54">
        <v>1</v>
      </c>
      <c r="P23" s="54"/>
      <c r="Q23" s="55">
        <v>1</v>
      </c>
    </row>
    <row r="24" spans="3:18" ht="25.5" customHeight="1" thickBot="1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1</v>
      </c>
      <c r="N24" s="100">
        <f t="shared" si="1"/>
        <v>0.75</v>
      </c>
      <c r="O24" s="54">
        <v>2</v>
      </c>
      <c r="P24" s="54">
        <v>4</v>
      </c>
      <c r="Q24" s="55"/>
    </row>
    <row r="25" spans="3:18" ht="25.5" customHeight="1" thickBot="1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1</v>
      </c>
      <c r="N25" s="164">
        <f t="shared" si="1"/>
        <v>0.66666666666666663</v>
      </c>
      <c r="O25" s="67"/>
      <c r="P25" s="67"/>
      <c r="Q25" s="44"/>
    </row>
    <row r="26" spans="3:18" ht="19.5" customHeight="1" thickBot="1">
      <c r="C26" s="168" t="s">
        <v>135</v>
      </c>
      <c r="D26" s="169">
        <f>SUM(D21:D25)</f>
        <v>26</v>
      </c>
      <c r="E26" s="145">
        <f>SUM(E21:E25)</f>
        <v>20</v>
      </c>
      <c r="F26" s="166">
        <f t="shared" si="0"/>
        <v>0.23076923076923078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10</v>
      </c>
      <c r="N26" s="166">
        <f>IF(ISBLANK(M26)," 0%", (IF(M26,(L26-M26)/L26,1)))</f>
        <v>0.65517241379310343</v>
      </c>
      <c r="O26" s="158">
        <f>SUM(O21:O25)</f>
        <v>5</v>
      </c>
      <c r="P26" s="158">
        <f>SUM(P21:P25)</f>
        <v>6</v>
      </c>
      <c r="Q26" s="167">
        <f>SUM(Q21:Q25)</f>
        <v>2</v>
      </c>
    </row>
    <row r="27" spans="3:18" ht="19.5" customHeight="1" thickBot="1">
      <c r="C27" s="363" t="s">
        <v>134</v>
      </c>
      <c r="D27" s="364"/>
      <c r="E27" s="364"/>
      <c r="F27" s="364"/>
      <c r="G27" s="364"/>
      <c r="H27" s="364"/>
      <c r="I27" s="364"/>
      <c r="J27" s="364"/>
      <c r="K27" s="364"/>
      <c r="L27" s="364"/>
      <c r="M27" s="364"/>
      <c r="N27" s="364"/>
      <c r="O27" s="364"/>
      <c r="P27" s="364"/>
      <c r="Q27" s="365"/>
      <c r="R27" s="104"/>
    </row>
    <row r="28" spans="3:18" ht="25.5" customHeight="1" thickBot="1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>
      <c r="C29" s="148" t="s">
        <v>3</v>
      </c>
      <c r="D29" s="149">
        <v>23</v>
      </c>
      <c r="E29" s="60">
        <v>2</v>
      </c>
      <c r="F29" s="100">
        <f t="shared" ref="F29:F34" si="2">IF(ISBLANK(E29)," 0%", (IF(E29,(D29-E29)/D29,1)))</f>
        <v>0.91304347826086951</v>
      </c>
      <c r="G29" s="52"/>
      <c r="H29" s="52">
        <v>4</v>
      </c>
      <c r="I29" s="62">
        <v>1</v>
      </c>
      <c r="J29" s="50"/>
      <c r="K29" s="98" t="s">
        <v>146</v>
      </c>
      <c r="L29" s="45">
        <v>22</v>
      </c>
      <c r="M29" s="94">
        <v>4</v>
      </c>
      <c r="N29" s="100">
        <f t="shared" ref="N29:N46" si="3">IF(ISBLANK(M29)," 0%", (IF(M29,(L29-M29)/L29,1)))</f>
        <v>0.81818181818181823</v>
      </c>
      <c r="O29" s="52"/>
      <c r="P29" s="52">
        <v>5</v>
      </c>
      <c r="Q29" s="62">
        <v>2</v>
      </c>
    </row>
    <row r="30" spans="3:18" ht="15.75" customHeight="1" thickBot="1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13</v>
      </c>
      <c r="M30" s="63">
        <v>0</v>
      </c>
      <c r="N30" s="100">
        <f t="shared" si="3"/>
        <v>1</v>
      </c>
      <c r="O30" s="53"/>
      <c r="P30" s="53">
        <v>4</v>
      </c>
      <c r="Q30" s="64">
        <v>0</v>
      </c>
    </row>
    <row r="31" spans="3:18" ht="15.75" customHeight="1" thickBot="1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/>
      <c r="H31" s="53">
        <v>1</v>
      </c>
      <c r="I31" s="64">
        <v>1</v>
      </c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>
        <v>7</v>
      </c>
      <c r="Q31" s="64">
        <v>1</v>
      </c>
    </row>
    <row r="32" spans="3:18" ht="15.75" customHeight="1" thickBot="1">
      <c r="C32" s="150">
        <v>43</v>
      </c>
      <c r="D32" s="151">
        <v>24</v>
      </c>
      <c r="E32" s="63">
        <v>9</v>
      </c>
      <c r="F32" s="100">
        <f t="shared" si="2"/>
        <v>0.625</v>
      </c>
      <c r="G32" s="53"/>
      <c r="H32" s="53">
        <v>0</v>
      </c>
      <c r="I32" s="64">
        <v>0</v>
      </c>
      <c r="J32" s="50"/>
      <c r="K32" s="99">
        <v>32</v>
      </c>
      <c r="L32" s="46">
        <v>23</v>
      </c>
      <c r="M32" s="63">
        <v>1</v>
      </c>
      <c r="N32" s="100">
        <f t="shared" si="3"/>
        <v>0.95652173913043481</v>
      </c>
      <c r="O32" s="53"/>
      <c r="P32" s="53">
        <v>1</v>
      </c>
      <c r="Q32" s="64">
        <v>1</v>
      </c>
    </row>
    <row r="33" spans="3:19" ht="15.75" customHeight="1" thickBot="1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>
        <v>0</v>
      </c>
      <c r="I33" s="64">
        <v>0</v>
      </c>
      <c r="J33" s="50"/>
      <c r="K33" s="99">
        <v>34</v>
      </c>
      <c r="L33" s="46">
        <v>12</v>
      </c>
      <c r="M33" s="63">
        <v>4</v>
      </c>
      <c r="N33" s="100">
        <f t="shared" si="3"/>
        <v>0.66666666666666663</v>
      </c>
      <c r="O33" s="53"/>
      <c r="P33" s="53">
        <v>1</v>
      </c>
      <c r="Q33" s="64">
        <v>1</v>
      </c>
    </row>
    <row r="34" spans="3:19" ht="15.75" customHeight="1" thickBot="1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>
        <v>0</v>
      </c>
      <c r="I34" s="64">
        <v>0</v>
      </c>
      <c r="J34" s="50"/>
      <c r="K34" s="99">
        <v>41</v>
      </c>
      <c r="L34" s="46">
        <v>21</v>
      </c>
      <c r="M34" s="63">
        <v>1</v>
      </c>
      <c r="N34" s="100">
        <f t="shared" si="3"/>
        <v>0.95238095238095233</v>
      </c>
      <c r="O34" s="53"/>
      <c r="P34" s="53">
        <v>1</v>
      </c>
      <c r="Q34" s="64">
        <v>1</v>
      </c>
    </row>
    <row r="35" spans="3:19" ht="15.75" customHeight="1" thickBot="1">
      <c r="C35" s="150"/>
      <c r="D35" s="151"/>
      <c r="E35" s="59"/>
      <c r="F35" s="100" t="str">
        <f t="shared" ref="F35:F46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1</v>
      </c>
      <c r="N35" s="100">
        <f t="shared" si="3"/>
        <v>0.95833333333333337</v>
      </c>
      <c r="O35" s="53"/>
      <c r="P35" s="53">
        <v>2</v>
      </c>
      <c r="Q35" s="64">
        <v>0</v>
      </c>
    </row>
    <row r="36" spans="3:19" ht="15.75" customHeight="1" thickBot="1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>
        <v>2</v>
      </c>
      <c r="Q36" s="64">
        <v>1</v>
      </c>
      <c r="S36" s="51" t="s">
        <v>1</v>
      </c>
    </row>
    <row r="37" spans="3:19" ht="15.75" customHeight="1" thickBot="1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2</v>
      </c>
      <c r="N37" s="100">
        <f t="shared" si="3"/>
        <v>0.91666666666666663</v>
      </c>
      <c r="O37" s="53"/>
      <c r="P37" s="53">
        <v>0</v>
      </c>
      <c r="Q37" s="64">
        <v>0</v>
      </c>
    </row>
    <row r="38" spans="3:19" ht="15.75" customHeight="1" thickBot="1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/>
      <c r="P38" s="53">
        <v>0</v>
      </c>
      <c r="Q38" s="64">
        <v>1</v>
      </c>
    </row>
    <row r="39" spans="3:19" ht="15.75" customHeight="1" thickBot="1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0</v>
      </c>
      <c r="N39" s="100">
        <f t="shared" si="3"/>
        <v>1</v>
      </c>
      <c r="O39" s="53"/>
      <c r="P39" s="53">
        <v>4</v>
      </c>
      <c r="Q39" s="64">
        <v>2</v>
      </c>
    </row>
    <row r="40" spans="3:19" ht="15.75" customHeight="1" thickBot="1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1</v>
      </c>
      <c r="N40" s="100">
        <f t="shared" si="3"/>
        <v>0.95833333333333337</v>
      </c>
      <c r="O40" s="53"/>
      <c r="P40" s="53">
        <v>3</v>
      </c>
      <c r="Q40" s="64">
        <v>2</v>
      </c>
    </row>
    <row r="41" spans="3:19" ht="15.75" customHeight="1" thickBot="1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1</v>
      </c>
      <c r="N41" s="100">
        <f t="shared" si="3"/>
        <v>0.95833333333333337</v>
      </c>
      <c r="O41" s="53"/>
      <c r="P41" s="53">
        <v>4</v>
      </c>
      <c r="Q41" s="64">
        <v>1</v>
      </c>
    </row>
    <row r="42" spans="3:19" ht="15.75" customHeight="1" thickBot="1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10</v>
      </c>
      <c r="M42" s="63"/>
      <c r="N42" s="100" t="str">
        <f t="shared" si="3"/>
        <v xml:space="preserve"> 0%</v>
      </c>
      <c r="O42" s="49" t="s">
        <v>147</v>
      </c>
      <c r="P42" s="53"/>
      <c r="Q42" s="64"/>
    </row>
    <row r="43" spans="3:19" ht="15.75" customHeight="1" thickBot="1">
      <c r="C43" s="150"/>
      <c r="D43" s="151"/>
      <c r="E43" s="59"/>
      <c r="F43" s="100" t="str">
        <f t="shared" si="4"/>
        <v xml:space="preserve"> 0%</v>
      </c>
      <c r="G43" s="53"/>
      <c r="H43" s="53"/>
      <c r="I43" s="55"/>
      <c r="J43" s="50"/>
      <c r="K43" s="99" t="s">
        <v>68</v>
      </c>
      <c r="L43" s="61">
        <v>10</v>
      </c>
      <c r="M43" s="63"/>
      <c r="N43" s="100" t="str">
        <f t="shared" si="3"/>
        <v xml:space="preserve"> 0%</v>
      </c>
      <c r="O43" s="49" t="s">
        <v>147</v>
      </c>
      <c r="P43" s="53"/>
      <c r="Q43" s="64"/>
    </row>
    <row r="44" spans="3:19" ht="15.75" customHeight="1" thickBot="1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>
        <v>9</v>
      </c>
      <c r="L44" s="61">
        <v>11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19" ht="15.75" customHeight="1" thickBot="1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10</v>
      </c>
      <c r="L45" s="61">
        <v>16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19" ht="15.75" customHeight="1" thickBot="1">
      <c r="C46" s="152"/>
      <c r="D46" s="142"/>
      <c r="E46" s="93"/>
      <c r="F46" s="100" t="str">
        <f t="shared" si="4"/>
        <v xml:space="preserve"> 0%</v>
      </c>
      <c r="G46" s="8"/>
      <c r="H46" s="8"/>
      <c r="I46" s="66"/>
      <c r="J46" s="50"/>
      <c r="K46" s="99">
        <v>13</v>
      </c>
      <c r="L46" s="61">
        <v>12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19" ht="15.75" customHeight="1" thickBot="1">
      <c r="C47" s="143" t="s">
        <v>135</v>
      </c>
      <c r="D47" s="144">
        <f>SUM(D29:D46)</f>
        <v>86</v>
      </c>
      <c r="E47" s="145">
        <f>SUM(E29:E46)</f>
        <v>19</v>
      </c>
      <c r="F47" s="100">
        <f>IF(ISBLANK(E47)," 0%", (IF(E47,(D47-E47)/D47,1)))</f>
        <v>0.77906976744186052</v>
      </c>
      <c r="G47" s="146">
        <f>SUM(G29:G46)</f>
        <v>0</v>
      </c>
      <c r="H47" s="146">
        <f>SUM(H29:H46)</f>
        <v>5</v>
      </c>
      <c r="I47" s="146">
        <f>SUM(I29:I46)</f>
        <v>2</v>
      </c>
      <c r="J47" s="141"/>
      <c r="K47" s="147" t="s">
        <v>135</v>
      </c>
      <c r="L47" s="144">
        <f>SUM(L29:L46)</f>
        <v>349</v>
      </c>
      <c r="M47" s="145">
        <f>SUM(M29:M46)</f>
        <v>15</v>
      </c>
      <c r="N47" s="100">
        <f>IF(ISBLANK(M47)," 0%", (IF(M47,(L47-M47)/L47,1)))</f>
        <v>0.95702005730659023</v>
      </c>
      <c r="O47" s="146">
        <f>SUM(O29:O46)</f>
        <v>0</v>
      </c>
      <c r="P47" s="146">
        <f>SUM(P29:P46)</f>
        <v>34</v>
      </c>
      <c r="Q47" s="146">
        <f>SUM(Q29:Q46)</f>
        <v>13</v>
      </c>
    </row>
    <row r="48" spans="3:19" ht="18.75" customHeight="1" thickBot="1">
      <c r="C48" s="354" t="s">
        <v>145</v>
      </c>
      <c r="D48" s="355"/>
      <c r="E48" s="355"/>
      <c r="F48" s="355"/>
      <c r="G48" s="355"/>
      <c r="H48" s="355"/>
      <c r="I48" s="355"/>
      <c r="J48" s="355"/>
      <c r="K48" s="355"/>
      <c r="L48" s="355"/>
      <c r="M48" s="355"/>
      <c r="N48" s="355"/>
      <c r="O48" s="355"/>
      <c r="P48" s="355"/>
      <c r="Q48" s="356"/>
      <c r="R48" s="48"/>
    </row>
    <row r="49" spans="3:18" ht="29.25" customHeight="1" thickBot="1">
      <c r="C49" s="153" t="s">
        <v>2</v>
      </c>
      <c r="D49" s="153" t="s">
        <v>13</v>
      </c>
      <c r="E49" s="95" t="s">
        <v>73</v>
      </c>
      <c r="F49" s="95" t="s">
        <v>16</v>
      </c>
      <c r="G49" s="95" t="s">
        <v>69</v>
      </c>
      <c r="H49" s="95" t="s">
        <v>77</v>
      </c>
      <c r="I49" s="95" t="s">
        <v>70</v>
      </c>
      <c r="J49" s="1"/>
      <c r="K49" s="126" t="s">
        <v>2</v>
      </c>
      <c r="L49" s="126" t="s">
        <v>13</v>
      </c>
      <c r="M49" s="126" t="s">
        <v>73</v>
      </c>
      <c r="N49" s="126" t="s">
        <v>137</v>
      </c>
      <c r="O49" s="192" t="s">
        <v>16</v>
      </c>
      <c r="P49" s="126" t="s">
        <v>69</v>
      </c>
      <c r="Q49" s="126" t="s">
        <v>77</v>
      </c>
      <c r="R49" s="117"/>
    </row>
    <row r="50" spans="3:18" ht="23.25" customHeight="1" thickBot="1">
      <c r="C50" s="154" t="s">
        <v>175</v>
      </c>
      <c r="D50" s="149">
        <v>4</v>
      </c>
      <c r="E50" s="60">
        <v>3</v>
      </c>
      <c r="F50" s="100">
        <f t="shared" ref="F50:F57" si="5">IF(ISBLANK(E50)," 0%", (IF(E50,(D50-E50)/D50,1)))</f>
        <v>0.25</v>
      </c>
      <c r="G50" s="52"/>
      <c r="H50" s="52"/>
      <c r="I50" s="62"/>
      <c r="J50" s="50"/>
      <c r="K50" s="103" t="s">
        <v>175</v>
      </c>
      <c r="L50" s="45">
        <v>5</v>
      </c>
      <c r="M50" s="60">
        <v>3</v>
      </c>
      <c r="N50" s="100">
        <f t="shared" ref="N50:N57" si="6">IF(ISBLANK(M50)," 0%", (IF(M50,(L50-M50)/L50,1)))</f>
        <v>0.4</v>
      </c>
      <c r="O50" s="52"/>
      <c r="P50" s="52"/>
      <c r="Q50" s="62"/>
    </row>
    <row r="51" spans="3:18" ht="26.25" customHeight="1" thickBot="1">
      <c r="C51" s="155" t="s">
        <v>80</v>
      </c>
      <c r="D51" s="151">
        <v>8</v>
      </c>
      <c r="E51" s="59">
        <v>8</v>
      </c>
      <c r="F51" s="100">
        <f t="shared" si="5"/>
        <v>0</v>
      </c>
      <c r="G51" s="53"/>
      <c r="H51" s="53"/>
      <c r="I51" s="64"/>
      <c r="J51" s="1"/>
      <c r="K51" s="102" t="s">
        <v>176</v>
      </c>
      <c r="L51" s="46">
        <v>10</v>
      </c>
      <c r="M51" s="59">
        <v>2</v>
      </c>
      <c r="N51" s="100">
        <f t="shared" si="6"/>
        <v>0.8</v>
      </c>
      <c r="O51" s="53"/>
      <c r="P51" s="53"/>
      <c r="Q51" s="64"/>
    </row>
    <row r="52" spans="3:18" ht="28.5" customHeight="1" thickBot="1">
      <c r="C52" s="155" t="s">
        <v>15</v>
      </c>
      <c r="D52" s="151">
        <v>3</v>
      </c>
      <c r="E52" s="59">
        <v>3</v>
      </c>
      <c r="F52" s="100">
        <f>IF(ISBLANK(E52)," 0%", (IF(E52,(D52-E52)/D52,1)))</f>
        <v>0</v>
      </c>
      <c r="G52" s="53"/>
      <c r="H52" s="53"/>
      <c r="I52" s="55"/>
      <c r="J52" s="9"/>
      <c r="K52" s="101" t="s">
        <v>86</v>
      </c>
      <c r="L52" s="46">
        <v>4</v>
      </c>
      <c r="M52" s="59">
        <v>1</v>
      </c>
      <c r="N52" s="100">
        <f t="shared" si="6"/>
        <v>0.75</v>
      </c>
      <c r="O52" s="53"/>
      <c r="P52" s="53"/>
      <c r="Q52" s="64"/>
    </row>
    <row r="53" spans="3:18" ht="27.75" customHeight="1" thickBot="1">
      <c r="C53" s="155"/>
      <c r="D53" s="151"/>
      <c r="E53" s="59"/>
      <c r="F53" s="100" t="str">
        <f>IF(ISBLANK(E53)," 0%", (IF(E53,(D53-E53)/D53,1)))</f>
        <v xml:space="preserve"> 0%</v>
      </c>
      <c r="G53" s="53"/>
      <c r="H53" s="53"/>
      <c r="I53" s="55"/>
      <c r="J53" s="9"/>
      <c r="K53" s="101" t="s">
        <v>79</v>
      </c>
      <c r="L53" s="46">
        <v>3</v>
      </c>
      <c r="M53" s="59">
        <v>3</v>
      </c>
      <c r="N53" s="100">
        <f t="shared" si="6"/>
        <v>0</v>
      </c>
      <c r="O53" s="53"/>
      <c r="P53" s="53"/>
      <c r="Q53" s="64"/>
    </row>
    <row r="54" spans="3:18" ht="23.25" customHeight="1" thickBot="1">
      <c r="C54" s="163"/>
      <c r="D54" s="156"/>
      <c r="E54" s="93"/>
      <c r="F54" s="164" t="str">
        <f t="shared" ref="F54" si="7">IF(ISBLANK(E54)," 0%", (IF(E54,(D54-E54)/D54,1)))</f>
        <v xml:space="preserve"> 0%</v>
      </c>
      <c r="G54" s="67"/>
      <c r="H54" s="67"/>
      <c r="I54" s="66"/>
      <c r="J54" s="50"/>
      <c r="K54" s="101" t="s">
        <v>14</v>
      </c>
      <c r="L54" s="46">
        <v>21</v>
      </c>
      <c r="M54" s="93">
        <v>2</v>
      </c>
      <c r="N54" s="100">
        <f t="shared" ref="N54" si="8">IF(ISBLANK(M54)," 0%", (IF(M54,(L54-M54)/L54,1)))</f>
        <v>0.90476190476190477</v>
      </c>
      <c r="O54" s="10"/>
      <c r="P54" s="8"/>
      <c r="Q54" s="66"/>
    </row>
    <row r="55" spans="3:18" ht="28.5" customHeight="1" thickBot="1">
      <c r="C55" s="155"/>
      <c r="D55" s="151"/>
      <c r="E55" s="59"/>
      <c r="F55" s="100" t="str">
        <f>IF(ISBLANK(E55)," 0%", (IF(E55,(D55-E55)/D55,1)))</f>
        <v xml:space="preserve"> 0%</v>
      </c>
      <c r="G55" s="53"/>
      <c r="H55" s="53"/>
      <c r="I55" s="64"/>
      <c r="J55" s="1"/>
      <c r="K55" s="102" t="s">
        <v>80</v>
      </c>
      <c r="L55" s="46">
        <v>16</v>
      </c>
      <c r="M55" s="59">
        <v>9</v>
      </c>
      <c r="N55" s="100">
        <f t="shared" si="6"/>
        <v>0.4375</v>
      </c>
      <c r="O55" s="53"/>
      <c r="P55" s="53"/>
      <c r="Q55" s="64"/>
    </row>
    <row r="56" spans="3:18" ht="23.25" customHeight="1" thickBot="1">
      <c r="C56" s="163"/>
      <c r="D56" s="156"/>
      <c r="E56" s="93"/>
      <c r="F56" s="164" t="str">
        <f t="shared" si="5"/>
        <v xml:space="preserve"> 0%</v>
      </c>
      <c r="G56" s="67"/>
      <c r="H56" s="67"/>
      <c r="I56" s="66"/>
      <c r="J56" s="50"/>
      <c r="K56" s="92" t="s">
        <v>15</v>
      </c>
      <c r="L56" s="47">
        <v>17</v>
      </c>
      <c r="M56" s="93">
        <v>12</v>
      </c>
      <c r="N56" s="100">
        <f t="shared" si="6"/>
        <v>0.29411764705882354</v>
      </c>
      <c r="O56" s="10"/>
      <c r="P56" s="8"/>
      <c r="Q56" s="66"/>
    </row>
    <row r="57" spans="3:18" ht="17.25" customHeight="1" thickBot="1">
      <c r="C57" s="165" t="s">
        <v>135</v>
      </c>
      <c r="D57" s="157">
        <f>SUM(D50:D56)</f>
        <v>15</v>
      </c>
      <c r="E57" s="145">
        <f>SUM(E50:E56)</f>
        <v>14</v>
      </c>
      <c r="F57" s="166">
        <f t="shared" si="5"/>
        <v>6.6666666666666666E-2</v>
      </c>
      <c r="G57" s="158">
        <f>SUM(G50:G56)</f>
        <v>0</v>
      </c>
      <c r="H57" s="158">
        <f t="shared" ref="H57:I57" si="9">SUM(H50:H56)</f>
        <v>0</v>
      </c>
      <c r="I57" s="167">
        <f t="shared" si="9"/>
        <v>0</v>
      </c>
      <c r="J57" s="159"/>
      <c r="K57" s="160" t="s">
        <v>135</v>
      </c>
      <c r="L57" s="144">
        <f>SUM(L50:L56)</f>
        <v>76</v>
      </c>
      <c r="M57" s="145">
        <f>SUM(M50:M56)</f>
        <v>32</v>
      </c>
      <c r="N57" s="166">
        <f t="shared" si="6"/>
        <v>0.57894736842105265</v>
      </c>
      <c r="O57" s="157"/>
      <c r="P57" s="146"/>
      <c r="Q57" s="161"/>
      <c r="R57" s="162"/>
    </row>
    <row r="58" spans="3:18" ht="20.25" customHeight="1">
      <c r="C58" s="162"/>
      <c r="D58" s="162"/>
      <c r="E58" s="162"/>
      <c r="F58" s="141"/>
      <c r="G58" s="141"/>
      <c r="H58" s="141"/>
      <c r="I58" s="162"/>
      <c r="J58" s="162"/>
      <c r="K58" s="162"/>
      <c r="L58" s="162"/>
      <c r="M58" s="162"/>
      <c r="N58" s="162"/>
      <c r="O58" s="162"/>
      <c r="P58" s="162"/>
      <c r="Q58" s="162"/>
      <c r="R58" s="162"/>
    </row>
    <row r="59" spans="3:18" ht="12.75" customHeight="1"/>
    <row r="60" spans="3:18" ht="24" customHeight="1"/>
    <row r="61" spans="3:18" ht="24" customHeight="1"/>
    <row r="62" spans="3:18" ht="24" customHeight="1"/>
    <row r="63" spans="3:18" ht="24" customHeight="1"/>
    <row r="64" spans="3:18" ht="24" customHeight="1"/>
    <row r="65" spans="3:3" ht="24" customHeight="1">
      <c r="C65" s="51" t="s">
        <v>1</v>
      </c>
    </row>
    <row r="66" spans="3:3" ht="24" customHeight="1"/>
    <row r="67" spans="3:3" ht="24" customHeight="1"/>
    <row r="68" spans="3:3" ht="24" customHeight="1">
      <c r="C68" s="51" t="s">
        <v>1</v>
      </c>
    </row>
    <row r="69" spans="3:3" ht="24" customHeight="1">
      <c r="C69" s="51" t="s">
        <v>1</v>
      </c>
    </row>
    <row r="70" spans="3:3" ht="24" customHeight="1"/>
    <row r="71" spans="3:3" ht="15.75" customHeight="1"/>
    <row r="74" spans="3:3" ht="12" customHeight="1"/>
    <row r="75" spans="3:3" ht="12.75" customHeight="1"/>
    <row r="79" spans="3:3" ht="12" customHeight="1"/>
    <row r="80" spans="3:3" ht="12" customHeight="1"/>
    <row r="81" ht="12.75" customHeight="1"/>
    <row r="84" ht="12" customHeight="1"/>
    <row r="85" ht="12" customHeight="1"/>
    <row r="86" ht="12.75" customHeight="1"/>
  </sheetData>
  <sheetProtection password="9D31" sheet="1" objects="1" scenarios="1" selectLockedCells="1"/>
  <mergeCells count="44">
    <mergeCell ref="C27:Q27"/>
    <mergeCell ref="O14:O15"/>
    <mergeCell ref="C17:Q17"/>
    <mergeCell ref="C18:I18"/>
    <mergeCell ref="K18:Q18"/>
    <mergeCell ref="C19:Q19"/>
    <mergeCell ref="M14:N15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C48:Q48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</mergeCells>
  <conditionalFormatting sqref="F48:F54 N48:N54 N28:N46 F21:F25 N21:N25 F28:F46">
    <cfRule type="cellIs" dxfId="12" priority="3" operator="between">
      <formula>0.9</formula>
      <formula>1</formula>
    </cfRule>
  </conditionalFormatting>
  <conditionalFormatting sqref="F50:F56 N50:N56">
    <cfRule type="cellIs" dxfId="11" priority="2" operator="between">
      <formula>0.9</formula>
      <formula>1</formula>
    </cfRule>
  </conditionalFormatting>
  <conditionalFormatting sqref="F29:F34">
    <cfRule type="cellIs" dxfId="10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A87"/>
  <sheetViews>
    <sheetView showGridLines="0" topLeftCell="A16" zoomScale="85" zoomScaleNormal="85" workbookViewId="0">
      <selection activeCell="M56" sqref="M56"/>
    </sheetView>
  </sheetViews>
  <sheetFormatPr defaultColWidth="9.140625" defaultRowHeight="1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/>
    <row r="2" spans="2:27" ht="37.5" customHeight="1" thickBot="1">
      <c r="C2" s="327" t="s">
        <v>75</v>
      </c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9"/>
    </row>
    <row r="3" spans="2:27" s="50" customFormat="1" ht="11.25" customHeight="1" thickBot="1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>
      <c r="C4" s="58" t="s">
        <v>12</v>
      </c>
      <c r="D4" s="330">
        <v>43977</v>
      </c>
      <c r="E4" s="331"/>
      <c r="F4" s="91"/>
      <c r="G4" s="57"/>
      <c r="H4" s="58" t="s">
        <v>0</v>
      </c>
      <c r="I4" s="133">
        <v>0.70833333333333337</v>
      </c>
      <c r="J4" s="4"/>
      <c r="K4" s="58" t="s">
        <v>152</v>
      </c>
      <c r="L4" s="309" t="s">
        <v>186</v>
      </c>
      <c r="M4" s="310"/>
      <c r="N4" s="310"/>
      <c r="O4" s="311"/>
    </row>
    <row r="5" spans="2:27" s="50" customFormat="1" ht="21" customHeight="1" thickBot="1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>
      <c r="B6" s="332" t="s">
        <v>138</v>
      </c>
      <c r="C6" s="333"/>
      <c r="D6" s="333"/>
      <c r="E6" s="333"/>
      <c r="F6" s="333"/>
      <c r="G6" s="334"/>
      <c r="I6" s="318" t="s">
        <v>11</v>
      </c>
      <c r="J6" s="319"/>
      <c r="K6" s="319"/>
      <c r="L6" s="319"/>
      <c r="M6" s="319"/>
      <c r="N6" s="319"/>
      <c r="O6" s="319"/>
      <c r="P6" s="320"/>
      <c r="W6" s="312"/>
      <c r="X6" s="312"/>
      <c r="Y6" s="312"/>
      <c r="Z6" s="312"/>
      <c r="AA6" s="312"/>
    </row>
    <row r="7" spans="2:27" ht="25.5" customHeight="1">
      <c r="B7" s="335" t="s">
        <v>5</v>
      </c>
      <c r="C7" s="336"/>
      <c r="D7" s="336"/>
      <c r="E7" s="336"/>
      <c r="F7" s="336"/>
      <c r="G7" s="127"/>
      <c r="H7" s="50"/>
      <c r="I7" s="342" t="s">
        <v>149</v>
      </c>
      <c r="J7" s="313" t="s">
        <v>9</v>
      </c>
      <c r="K7" s="313"/>
      <c r="L7" s="313" t="s">
        <v>150</v>
      </c>
      <c r="M7" s="313" t="s">
        <v>10</v>
      </c>
      <c r="N7" s="313"/>
      <c r="O7" s="313" t="s">
        <v>143</v>
      </c>
      <c r="P7" s="321" t="s">
        <v>151</v>
      </c>
      <c r="W7" s="1"/>
      <c r="X7" s="1"/>
      <c r="Y7" s="1"/>
      <c r="Z7" s="1"/>
      <c r="AA7" s="1"/>
    </row>
    <row r="8" spans="2:27" ht="22.5" customHeight="1">
      <c r="B8" s="337" t="s">
        <v>4</v>
      </c>
      <c r="C8" s="338"/>
      <c r="D8" s="338"/>
      <c r="E8" s="338"/>
      <c r="F8" s="338"/>
      <c r="G8" s="128"/>
      <c r="H8" s="5"/>
      <c r="I8" s="343"/>
      <c r="J8" s="314"/>
      <c r="K8" s="314"/>
      <c r="L8" s="314"/>
      <c r="M8" s="314"/>
      <c r="N8" s="314"/>
      <c r="O8" s="314"/>
      <c r="P8" s="322"/>
      <c r="W8" s="106"/>
      <c r="X8" s="107"/>
      <c r="Y8" s="108"/>
      <c r="Z8" s="106"/>
      <c r="AA8" s="106"/>
    </row>
    <row r="9" spans="2:27" ht="20.25" customHeight="1">
      <c r="B9" s="337" t="s">
        <v>6</v>
      </c>
      <c r="C9" s="338"/>
      <c r="D9" s="338"/>
      <c r="E9" s="338"/>
      <c r="F9" s="338"/>
      <c r="G9" s="129"/>
      <c r="H9" s="5"/>
      <c r="I9" s="347">
        <v>15</v>
      </c>
      <c r="J9" s="316" t="s">
        <v>190</v>
      </c>
      <c r="K9" s="316"/>
      <c r="L9" s="316" t="s">
        <v>191</v>
      </c>
      <c r="M9" s="316">
        <v>2</v>
      </c>
      <c r="N9" s="316"/>
      <c r="O9" s="316"/>
      <c r="P9" s="323">
        <v>81</v>
      </c>
      <c r="W9" s="312"/>
      <c r="X9" s="312"/>
      <c r="Y9" s="312"/>
      <c r="Z9" s="312"/>
      <c r="AA9" s="312"/>
    </row>
    <row r="10" spans="2:27" ht="25.5" customHeight="1" thickBot="1">
      <c r="B10" s="337" t="s">
        <v>141</v>
      </c>
      <c r="C10" s="338"/>
      <c r="D10" s="338"/>
      <c r="E10" s="338"/>
      <c r="F10" s="338"/>
      <c r="G10" s="130">
        <v>48</v>
      </c>
      <c r="H10" s="50"/>
      <c r="I10" s="348"/>
      <c r="J10" s="317"/>
      <c r="K10" s="317"/>
      <c r="L10" s="317"/>
      <c r="M10" s="317"/>
      <c r="N10" s="317"/>
      <c r="O10" s="317"/>
      <c r="P10" s="324"/>
      <c r="W10" s="109"/>
      <c r="X10" s="109"/>
      <c r="Y10" s="109"/>
      <c r="Z10" s="109"/>
      <c r="AA10" s="109"/>
    </row>
    <row r="11" spans="2:27" ht="20.25" customHeight="1" thickBot="1">
      <c r="B11" s="337" t="s">
        <v>140</v>
      </c>
      <c r="C11" s="338"/>
      <c r="D11" s="338"/>
      <c r="E11" s="338"/>
      <c r="F11" s="338"/>
      <c r="G11" s="131"/>
      <c r="H11" s="50"/>
      <c r="I11" s="344" t="s">
        <v>144</v>
      </c>
      <c r="J11" s="345"/>
      <c r="K11" s="345"/>
      <c r="L11" s="345"/>
      <c r="M11" s="345"/>
      <c r="N11" s="345"/>
      <c r="O11" s="346"/>
      <c r="P11" s="50"/>
      <c r="W11" s="50"/>
      <c r="X11" s="50"/>
      <c r="Y11" s="50"/>
      <c r="Z11" s="50"/>
      <c r="AA11" s="50"/>
    </row>
    <row r="12" spans="2:27" ht="20.25" customHeight="1">
      <c r="B12" s="351" t="s">
        <v>142</v>
      </c>
      <c r="C12" s="352"/>
      <c r="D12" s="352"/>
      <c r="E12" s="352"/>
      <c r="F12" s="353"/>
      <c r="G12" s="130"/>
      <c r="H12" s="50"/>
      <c r="I12" s="380" t="s">
        <v>17</v>
      </c>
      <c r="J12" s="382" t="s">
        <v>148</v>
      </c>
      <c r="K12" s="383"/>
      <c r="L12" s="386" t="s">
        <v>7</v>
      </c>
      <c r="M12" s="382" t="s">
        <v>18</v>
      </c>
      <c r="N12" s="383"/>
      <c r="O12" s="339" t="s">
        <v>74</v>
      </c>
      <c r="W12" s="170"/>
      <c r="X12" s="170"/>
      <c r="Y12" s="170"/>
      <c r="Z12" s="170"/>
      <c r="AA12" s="170"/>
    </row>
    <row r="13" spans="2:27" ht="21" customHeight="1" thickBot="1">
      <c r="B13" s="349" t="s">
        <v>82</v>
      </c>
      <c r="C13" s="350"/>
      <c r="D13" s="350"/>
      <c r="E13" s="350"/>
      <c r="F13" s="350"/>
      <c r="G13" s="132"/>
      <c r="H13" s="2"/>
      <c r="I13" s="381"/>
      <c r="J13" s="384"/>
      <c r="K13" s="385"/>
      <c r="L13" s="387"/>
      <c r="M13" s="384"/>
      <c r="N13" s="385"/>
      <c r="O13" s="340"/>
      <c r="U13" s="109"/>
      <c r="V13" s="109"/>
      <c r="W13" s="109"/>
      <c r="X13" s="109"/>
      <c r="Y13" s="109"/>
    </row>
    <row r="14" spans="2:27" ht="24.75" customHeight="1">
      <c r="B14" s="341"/>
      <c r="C14" s="341"/>
      <c r="D14" s="341"/>
      <c r="E14" s="341"/>
      <c r="F14" s="341"/>
      <c r="G14" s="120"/>
      <c r="H14" s="2"/>
      <c r="I14" s="369">
        <v>0</v>
      </c>
      <c r="J14" s="371"/>
      <c r="K14" s="372"/>
      <c r="L14" s="375"/>
      <c r="M14" s="371">
        <v>0</v>
      </c>
      <c r="N14" s="377"/>
      <c r="O14" s="325">
        <v>3</v>
      </c>
      <c r="U14" s="109"/>
      <c r="V14" s="109"/>
      <c r="W14" s="109"/>
      <c r="X14" s="109"/>
      <c r="Y14" s="109"/>
    </row>
    <row r="15" spans="2:27" ht="15" customHeight="1" thickBot="1">
      <c r="H15" s="2"/>
      <c r="I15" s="370"/>
      <c r="J15" s="373"/>
      <c r="K15" s="374"/>
      <c r="L15" s="376"/>
      <c r="M15" s="378"/>
      <c r="N15" s="379"/>
      <c r="O15" s="326"/>
      <c r="V15" s="50"/>
      <c r="W15" s="50"/>
      <c r="X15" s="50"/>
      <c r="Y15" s="50"/>
      <c r="Z15" s="50"/>
    </row>
    <row r="16" spans="2:27" ht="10.5" customHeight="1" thickBot="1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>
      <c r="C17" s="366" t="s">
        <v>133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8"/>
      <c r="R17" s="48"/>
    </row>
    <row r="18" spans="3:18" ht="20.25" customHeight="1" thickBot="1">
      <c r="C18" s="360" t="s">
        <v>153</v>
      </c>
      <c r="D18" s="361"/>
      <c r="E18" s="361"/>
      <c r="F18" s="361"/>
      <c r="G18" s="361"/>
      <c r="H18" s="361"/>
      <c r="I18" s="362"/>
      <c r="J18" s="50"/>
      <c r="K18" s="357" t="s">
        <v>154</v>
      </c>
      <c r="L18" s="358"/>
      <c r="M18" s="358"/>
      <c r="N18" s="358"/>
      <c r="O18" s="358"/>
      <c r="P18" s="358"/>
      <c r="Q18" s="359"/>
      <c r="R18" s="104"/>
    </row>
    <row r="19" spans="3:18" ht="20.25" customHeight="1" thickBot="1">
      <c r="C19" s="366" t="s">
        <v>8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8"/>
      <c r="R19" s="48"/>
    </row>
    <row r="20" spans="3:18" ht="24.75" customHeight="1" thickBot="1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/>
      <c r="H21" s="52"/>
      <c r="I21" s="62"/>
      <c r="J21" s="6"/>
      <c r="K21" s="121" t="s">
        <v>130</v>
      </c>
      <c r="L21" s="122">
        <v>6</v>
      </c>
      <c r="M21" s="123">
        <v>4</v>
      </c>
      <c r="N21" s="100">
        <f t="shared" ref="N21:N25" si="1">IF(ISBLANK(M21)," 0%", (IF(M21,(L21-M21)/L21,1)))</f>
        <v>0.33333333333333331</v>
      </c>
      <c r="O21" s="124"/>
      <c r="P21" s="124">
        <v>3</v>
      </c>
      <c r="Q21" s="125"/>
    </row>
    <row r="22" spans="3:18" ht="32.25" customHeight="1" thickBot="1">
      <c r="C22" s="137" t="s">
        <v>128</v>
      </c>
      <c r="D22" s="138">
        <v>6</v>
      </c>
      <c r="E22" s="63">
        <v>5</v>
      </c>
      <c r="F22" s="100">
        <f t="shared" si="0"/>
        <v>0.16666666666666666</v>
      </c>
      <c r="G22" s="54"/>
      <c r="H22" s="54"/>
      <c r="I22" s="55"/>
      <c r="J22" s="1"/>
      <c r="K22" s="116" t="s">
        <v>172</v>
      </c>
      <c r="L22" s="112">
        <v>8</v>
      </c>
      <c r="M22" s="63">
        <v>1</v>
      </c>
      <c r="N22" s="100">
        <f t="shared" si="1"/>
        <v>0.875</v>
      </c>
      <c r="O22" s="54"/>
      <c r="P22" s="54"/>
      <c r="Q22" s="55">
        <v>1</v>
      </c>
    </row>
    <row r="23" spans="3:18" ht="32.25" customHeight="1" thickBot="1">
      <c r="C23" s="137" t="s">
        <v>189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>
        <v>2</v>
      </c>
      <c r="N23" s="100">
        <f t="shared" si="1"/>
        <v>0.75</v>
      </c>
      <c r="O23" s="54">
        <v>3</v>
      </c>
      <c r="P23" s="54"/>
      <c r="Q23" s="55"/>
    </row>
    <row r="24" spans="3:18" ht="25.5" customHeight="1" thickBot="1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/>
      <c r="P24" s="54"/>
      <c r="Q24" s="55"/>
    </row>
    <row r="25" spans="3:18" ht="25.5" customHeight="1" thickBot="1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1</v>
      </c>
      <c r="N25" s="164">
        <f t="shared" si="1"/>
        <v>0.66666666666666663</v>
      </c>
      <c r="O25" s="67"/>
      <c r="P25" s="67"/>
      <c r="Q25" s="44"/>
    </row>
    <row r="26" spans="3:18" ht="19.5" customHeight="1" thickBot="1">
      <c r="C26" s="168" t="s">
        <v>135</v>
      </c>
      <c r="D26" s="169">
        <f>SUM(D21:D25)</f>
        <v>28</v>
      </c>
      <c r="E26" s="145">
        <f>SUM(E21:E25)</f>
        <v>22</v>
      </c>
      <c r="F26" s="166">
        <f t="shared" si="0"/>
        <v>0.21428571428571427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8</v>
      </c>
      <c r="N26" s="166">
        <f>IF(ISBLANK(M26)," 0%", (IF(M26,(L26-M26)/L26,1)))</f>
        <v>0.72413793103448276</v>
      </c>
      <c r="O26" s="158">
        <f>SUM(O21:O25)</f>
        <v>3</v>
      </c>
      <c r="P26" s="158">
        <f>SUM(P21:P25)</f>
        <v>3</v>
      </c>
      <c r="Q26" s="167">
        <f>SUM(Q21:Q25)</f>
        <v>1</v>
      </c>
    </row>
    <row r="27" spans="3:18" ht="19.5" customHeight="1" thickBot="1">
      <c r="C27" s="363" t="s">
        <v>134</v>
      </c>
      <c r="D27" s="364"/>
      <c r="E27" s="364"/>
      <c r="F27" s="364"/>
      <c r="G27" s="364"/>
      <c r="H27" s="364"/>
      <c r="I27" s="364"/>
      <c r="J27" s="364"/>
      <c r="K27" s="364"/>
      <c r="L27" s="364"/>
      <c r="M27" s="364"/>
      <c r="N27" s="364"/>
      <c r="O27" s="364"/>
      <c r="P27" s="364"/>
      <c r="Q27" s="365"/>
      <c r="R27" s="104"/>
    </row>
    <row r="28" spans="3:18" ht="25.5" customHeight="1" thickBot="1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>
      <c r="C29" s="148" t="s">
        <v>3</v>
      </c>
      <c r="D29" s="149">
        <v>23</v>
      </c>
      <c r="E29" s="60">
        <v>2</v>
      </c>
      <c r="F29" s="100">
        <f t="shared" ref="F29:F34" si="2">IF(ISBLANK(E29)," 0%", (IF(E29,(D29-E29)/D29,1)))</f>
        <v>0.91304347826086951</v>
      </c>
      <c r="G29" s="52"/>
      <c r="H29" s="52">
        <v>2</v>
      </c>
      <c r="I29" s="62">
        <v>3</v>
      </c>
      <c r="J29" s="50"/>
      <c r="K29" s="98" t="s">
        <v>146</v>
      </c>
      <c r="L29" s="45">
        <v>22</v>
      </c>
      <c r="M29" s="94">
        <v>1</v>
      </c>
      <c r="N29" s="100">
        <f t="shared" ref="N29:N47" si="3">IF(ISBLANK(M29)," 0%", (IF(M29,(L29-M29)/L29,1)))</f>
        <v>0.95454545454545459</v>
      </c>
      <c r="O29" s="52"/>
      <c r="P29" s="52">
        <v>2</v>
      </c>
      <c r="Q29" s="62">
        <v>4</v>
      </c>
    </row>
    <row r="30" spans="3:18" ht="15.75" customHeight="1" thickBot="1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>
        <v>1</v>
      </c>
      <c r="N30" s="100">
        <f t="shared" si="3"/>
        <v>0.93333333333333335</v>
      </c>
      <c r="O30" s="53"/>
      <c r="P30" s="53">
        <v>3</v>
      </c>
      <c r="Q30" s="64">
        <v>1</v>
      </c>
    </row>
    <row r="31" spans="3:18" ht="15.75" customHeight="1" thickBot="1">
      <c r="C31" s="150">
        <v>51</v>
      </c>
      <c r="D31" s="151">
        <v>10</v>
      </c>
      <c r="E31" s="59">
        <v>2</v>
      </c>
      <c r="F31" s="100">
        <f>IF(ISBLANK(E31)," 0%", (IF(E31,(D31-E31)/D31,1)))</f>
        <v>0.8</v>
      </c>
      <c r="G31" s="53"/>
      <c r="H31" s="53">
        <v>1</v>
      </c>
      <c r="I31" s="64">
        <v>1</v>
      </c>
      <c r="J31" s="50"/>
      <c r="K31" s="99">
        <v>23</v>
      </c>
      <c r="L31" s="46">
        <v>26</v>
      </c>
      <c r="M31" s="63">
        <v>0</v>
      </c>
      <c r="N31" s="100">
        <f t="shared" si="3"/>
        <v>1</v>
      </c>
      <c r="O31" s="53"/>
      <c r="P31" s="53">
        <v>4</v>
      </c>
      <c r="Q31" s="64">
        <v>7</v>
      </c>
    </row>
    <row r="32" spans="3:18" ht="15.75" customHeight="1" thickBot="1">
      <c r="C32" s="150">
        <v>43</v>
      </c>
      <c r="D32" s="151">
        <v>24</v>
      </c>
      <c r="E32" s="63">
        <v>11</v>
      </c>
      <c r="F32" s="100">
        <f t="shared" si="2"/>
        <v>0.54166666666666663</v>
      </c>
      <c r="G32" s="53"/>
      <c r="H32" s="53">
        <v>0</v>
      </c>
      <c r="I32" s="64">
        <v>0</v>
      </c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>
        <v>0</v>
      </c>
      <c r="Q32" s="64">
        <v>1</v>
      </c>
    </row>
    <row r="33" spans="3:22" ht="15.75" customHeight="1" thickBot="1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>
        <v>0</v>
      </c>
      <c r="I33" s="64">
        <v>0</v>
      </c>
      <c r="J33" s="50"/>
      <c r="K33" s="99">
        <v>34</v>
      </c>
      <c r="L33" s="46">
        <v>12</v>
      </c>
      <c r="M33" s="63">
        <v>5</v>
      </c>
      <c r="N33" s="100">
        <f t="shared" si="3"/>
        <v>0.58333333333333337</v>
      </c>
      <c r="O33" s="53"/>
      <c r="P33" s="53">
        <v>0</v>
      </c>
      <c r="Q33" s="64">
        <v>2</v>
      </c>
    </row>
    <row r="34" spans="3:22" ht="15.75" customHeight="1" thickBot="1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>
        <v>0</v>
      </c>
      <c r="I34" s="64">
        <v>0</v>
      </c>
      <c r="J34" s="50"/>
      <c r="K34" s="99">
        <v>41</v>
      </c>
      <c r="L34" s="46">
        <v>21</v>
      </c>
      <c r="M34" s="63">
        <v>1</v>
      </c>
      <c r="N34" s="100">
        <f t="shared" si="3"/>
        <v>0.95238095238095233</v>
      </c>
      <c r="O34" s="53"/>
      <c r="P34" s="53">
        <v>2</v>
      </c>
      <c r="Q34" s="64">
        <v>2</v>
      </c>
    </row>
    <row r="35" spans="3:22" ht="15.75" customHeight="1" thickBot="1">
      <c r="C35" s="150"/>
      <c r="D35" s="151"/>
      <c r="E35" s="59"/>
      <c r="F35" s="100" t="str">
        <f t="shared" ref="F35:F47" si="4">IF(ISBLANK(E35)," 0%", (IF(E35,(D35-E35)/D35,1)))</f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0</v>
      </c>
      <c r="N35" s="100">
        <f t="shared" si="3"/>
        <v>1</v>
      </c>
      <c r="O35" s="53"/>
      <c r="P35" s="53">
        <v>2</v>
      </c>
      <c r="Q35" s="64">
        <v>2</v>
      </c>
    </row>
    <row r="36" spans="3:22" ht="15.75" customHeight="1" thickBot="1">
      <c r="C36" s="150"/>
      <c r="D36" s="151"/>
      <c r="E36" s="59"/>
      <c r="F36" s="100" t="str">
        <f t="shared" si="4"/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1</v>
      </c>
      <c r="N36" s="100">
        <f t="shared" si="3"/>
        <v>0.96666666666666667</v>
      </c>
      <c r="O36" s="53"/>
      <c r="P36" s="53">
        <v>0</v>
      </c>
      <c r="Q36" s="64">
        <v>2</v>
      </c>
      <c r="S36" s="51" t="s">
        <v>1</v>
      </c>
    </row>
    <row r="37" spans="3:22" ht="15.75" customHeight="1" thickBot="1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>
        <v>0</v>
      </c>
      <c r="N37" s="100">
        <f t="shared" si="3"/>
        <v>1</v>
      </c>
      <c r="O37" s="53"/>
      <c r="P37" s="53">
        <v>0</v>
      </c>
      <c r="Q37" s="64">
        <v>0</v>
      </c>
      <c r="U37" s="51" t="s">
        <v>1</v>
      </c>
    </row>
    <row r="38" spans="3:22" ht="15.75" customHeight="1" thickBot="1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>
        <v>0</v>
      </c>
      <c r="N38" s="100">
        <f t="shared" si="3"/>
        <v>1</v>
      </c>
      <c r="O38" s="53"/>
      <c r="P38" s="53">
        <v>0</v>
      </c>
      <c r="Q38" s="64">
        <v>1</v>
      </c>
    </row>
    <row r="39" spans="3:22" ht="15.75" customHeight="1" thickBot="1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>
        <v>2</v>
      </c>
      <c r="N39" s="100">
        <f t="shared" si="3"/>
        <v>0.91666666666666663</v>
      </c>
      <c r="O39" s="53"/>
      <c r="P39" s="53">
        <v>2</v>
      </c>
      <c r="Q39" s="64">
        <v>6</v>
      </c>
    </row>
    <row r="40" spans="3:22" ht="15.75" customHeight="1" thickBot="1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>
        <v>2</v>
      </c>
      <c r="N40" s="100">
        <f t="shared" si="3"/>
        <v>0.91666666666666663</v>
      </c>
      <c r="O40" s="53"/>
      <c r="P40" s="53">
        <v>1</v>
      </c>
      <c r="Q40" s="64">
        <v>2</v>
      </c>
    </row>
    <row r="41" spans="3:22" ht="15.75" customHeight="1" thickBot="1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>
        <v>0</v>
      </c>
      <c r="N41" s="100">
        <f t="shared" si="3"/>
        <v>1</v>
      </c>
      <c r="O41" s="53"/>
      <c r="P41" s="53">
        <v>1</v>
      </c>
      <c r="Q41" s="64">
        <v>5</v>
      </c>
    </row>
    <row r="42" spans="3:22" ht="15.75" customHeight="1" thickBot="1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>
        <v>7</v>
      </c>
      <c r="N42" s="100">
        <f t="shared" si="3"/>
        <v>0</v>
      </c>
      <c r="O42" s="49"/>
      <c r="P42" s="53"/>
      <c r="Q42" s="64"/>
    </row>
    <row r="43" spans="3:22" ht="15.75" customHeight="1" thickBot="1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22" ht="15.75" customHeight="1" thickBot="1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22" ht="15.75" customHeight="1" thickBot="1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22" ht="15.75" customHeight="1" thickBot="1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22" ht="15.75" customHeight="1" thickBot="1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22" ht="15.75" customHeight="1" thickBot="1">
      <c r="C48" s="143" t="s">
        <v>135</v>
      </c>
      <c r="D48" s="144">
        <f>SUM(D29:D47)</f>
        <v>86</v>
      </c>
      <c r="E48" s="145">
        <f>SUM(E29:E47)</f>
        <v>21</v>
      </c>
      <c r="F48" s="100">
        <f>IF(ISBLANK(E48)," 0%", (IF(E48,(D48-E48)/D48,1)))</f>
        <v>0.7558139534883721</v>
      </c>
      <c r="G48" s="146">
        <f>SUM(G29:G47)</f>
        <v>0</v>
      </c>
      <c r="H48" s="146">
        <f>SUM(H29:H47)</f>
        <v>3</v>
      </c>
      <c r="I48" s="146">
        <f>SUM(I29:I47)</f>
        <v>4</v>
      </c>
      <c r="J48" s="141"/>
      <c r="K48" s="147" t="s">
        <v>135</v>
      </c>
      <c r="L48" s="144">
        <f>SUM(L29:L47)</f>
        <v>351</v>
      </c>
      <c r="M48" s="145">
        <f>SUM(M29:M47)</f>
        <v>20</v>
      </c>
      <c r="N48" s="100">
        <f>IF(ISBLANK(M48)," 0%", (IF(M48,(L48-M48)/L48,1)))</f>
        <v>0.94301994301994307</v>
      </c>
      <c r="O48" s="146">
        <f>SUM(O29:O47)</f>
        <v>0</v>
      </c>
      <c r="P48" s="146">
        <f>SUM(P29:P47)</f>
        <v>17</v>
      </c>
      <c r="Q48" s="146">
        <f>SUM(Q29:Q47)</f>
        <v>35</v>
      </c>
      <c r="V48" s="51" t="s">
        <v>1</v>
      </c>
    </row>
    <row r="49" spans="3:18" ht="18.75" customHeight="1" thickBot="1">
      <c r="C49" s="354" t="s">
        <v>145</v>
      </c>
      <c r="D49" s="355"/>
      <c r="E49" s="355"/>
      <c r="F49" s="355"/>
      <c r="G49" s="355"/>
      <c r="H49" s="355"/>
      <c r="I49" s="355"/>
      <c r="J49" s="355"/>
      <c r="K49" s="355"/>
      <c r="L49" s="355"/>
      <c r="M49" s="355"/>
      <c r="N49" s="355"/>
      <c r="O49" s="355"/>
      <c r="P49" s="355"/>
      <c r="Q49" s="356"/>
      <c r="R49" s="48"/>
    </row>
    <row r="50" spans="3:18" ht="29.25" customHeight="1" thickBot="1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>
      <c r="C51" s="154" t="s">
        <v>175</v>
      </c>
      <c r="D51" s="149">
        <v>4</v>
      </c>
      <c r="E51" s="60">
        <v>4</v>
      </c>
      <c r="F51" s="100">
        <f t="shared" ref="F51:F58" si="7">IF(ISBLANK(E51)," 0%", (IF(E51,(D51-E51)/D51,1)))</f>
        <v>0</v>
      </c>
      <c r="G51" s="52"/>
      <c r="H51" s="52"/>
      <c r="I51" s="62"/>
      <c r="J51" s="50"/>
      <c r="K51" s="103" t="s">
        <v>175</v>
      </c>
      <c r="L51" s="45">
        <v>5</v>
      </c>
      <c r="M51" s="60">
        <v>2</v>
      </c>
      <c r="N51" s="100">
        <f t="shared" ref="N51:N58" si="8">IF(ISBLANK(M51)," 0%", (IF(M51,(L51-M51)/L51,1)))</f>
        <v>0.6</v>
      </c>
      <c r="O51" s="52"/>
      <c r="P51" s="52"/>
      <c r="Q51" s="62"/>
    </row>
    <row r="52" spans="3:18" ht="26.25" customHeight="1" thickBot="1">
      <c r="C52" s="155" t="s">
        <v>80</v>
      </c>
      <c r="D52" s="151">
        <v>8</v>
      </c>
      <c r="E52" s="59">
        <v>7</v>
      </c>
      <c r="F52" s="100">
        <f t="shared" si="7"/>
        <v>0.125</v>
      </c>
      <c r="G52" s="53"/>
      <c r="H52" s="53"/>
      <c r="I52" s="64"/>
      <c r="J52" s="1"/>
      <c r="K52" s="102" t="s">
        <v>176</v>
      </c>
      <c r="L52" s="46">
        <v>10</v>
      </c>
      <c r="M52" s="59">
        <v>3</v>
      </c>
      <c r="N52" s="100">
        <f t="shared" si="8"/>
        <v>0.7</v>
      </c>
      <c r="O52" s="53"/>
      <c r="P52" s="53"/>
      <c r="Q52" s="64"/>
    </row>
    <row r="53" spans="3:18" ht="28.5" customHeight="1" thickBot="1">
      <c r="C53" s="155" t="s">
        <v>15</v>
      </c>
      <c r="D53" s="151">
        <v>3</v>
      </c>
      <c r="E53" s="59">
        <v>5</v>
      </c>
      <c r="F53" s="100">
        <f>IF(ISBLANK(E53)," 0%", (IF(E53,(D53-E53)/D53,1)))</f>
        <v>-0.66666666666666663</v>
      </c>
      <c r="G53" s="53"/>
      <c r="H53" s="53"/>
      <c r="I53" s="55"/>
      <c r="J53" s="9"/>
      <c r="K53" s="101" t="s">
        <v>86</v>
      </c>
      <c r="L53" s="46">
        <v>4</v>
      </c>
      <c r="M53" s="59">
        <v>0</v>
      </c>
      <c r="N53" s="100">
        <f t="shared" si="8"/>
        <v>1</v>
      </c>
      <c r="O53" s="53"/>
      <c r="P53" s="53"/>
      <c r="Q53" s="64"/>
    </row>
    <row r="54" spans="3:18" ht="27.75" customHeight="1" thickBot="1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>
        <v>3</v>
      </c>
      <c r="N54" s="100">
        <f t="shared" si="8"/>
        <v>0</v>
      </c>
      <c r="O54" s="53"/>
      <c r="P54" s="53"/>
      <c r="Q54" s="64"/>
    </row>
    <row r="55" spans="3:18" ht="23.25" customHeight="1" thickBot="1">
      <c r="C55" s="163"/>
      <c r="D55" s="156"/>
      <c r="E55" s="93"/>
      <c r="F55" s="164" t="str">
        <f t="shared" ref="F55" si="9">IF(ISBLANK(E55)," 0%", (IF(E55,(D55-E55)/D55,1)))</f>
        <v xml:space="preserve"> 0%</v>
      </c>
      <c r="G55" s="67"/>
      <c r="H55" s="67"/>
      <c r="I55" s="66"/>
      <c r="J55" s="50"/>
      <c r="K55" s="101" t="s">
        <v>14</v>
      </c>
      <c r="L55" s="46">
        <v>21</v>
      </c>
      <c r="M55" s="93">
        <v>4</v>
      </c>
      <c r="N55" s="100">
        <f t="shared" ref="N55" si="10">IF(ISBLANK(M55)," 0%", (IF(M55,(L55-M55)/L55,1)))</f>
        <v>0.80952380952380953</v>
      </c>
      <c r="O55" s="10"/>
      <c r="P55" s="8"/>
      <c r="Q55" s="66"/>
    </row>
    <row r="56" spans="3:18" ht="28.5" customHeight="1" thickBot="1">
      <c r="C56" s="155"/>
      <c r="D56" s="151"/>
      <c r="E56" s="59"/>
      <c r="F56" s="100" t="str">
        <f>IF(ISBLANK(E56)," 0%", (IF(E56,(D56-E56)/D56,1)))</f>
        <v xml:space="preserve"> 0%</v>
      </c>
      <c r="G56" s="53"/>
      <c r="H56" s="53"/>
      <c r="I56" s="64"/>
      <c r="J56" s="1"/>
      <c r="K56" s="102" t="s">
        <v>80</v>
      </c>
      <c r="L56" s="46">
        <v>16</v>
      </c>
      <c r="M56" s="59">
        <v>13</v>
      </c>
      <c r="N56" s="100">
        <f t="shared" si="8"/>
        <v>0.1875</v>
      </c>
      <c r="O56" s="53"/>
      <c r="P56" s="53"/>
      <c r="Q56" s="64"/>
    </row>
    <row r="57" spans="3:18" ht="23.25" customHeight="1" thickBot="1">
      <c r="C57" s="163"/>
      <c r="D57" s="156"/>
      <c r="E57" s="93"/>
      <c r="F57" s="164" t="str">
        <f t="shared" si="7"/>
        <v xml:space="preserve"> 0%</v>
      </c>
      <c r="G57" s="67"/>
      <c r="H57" s="67"/>
      <c r="I57" s="66"/>
      <c r="J57" s="50"/>
      <c r="K57" s="92" t="s">
        <v>15</v>
      </c>
      <c r="L57" s="47">
        <v>17</v>
      </c>
      <c r="M57" s="93">
        <v>15</v>
      </c>
      <c r="N57" s="100">
        <f t="shared" si="8"/>
        <v>0.11764705882352941</v>
      </c>
      <c r="O57" s="10"/>
      <c r="P57" s="8"/>
      <c r="Q57" s="66"/>
    </row>
    <row r="58" spans="3:18" ht="17.25" customHeight="1" thickBot="1">
      <c r="C58" s="165" t="s">
        <v>135</v>
      </c>
      <c r="D58" s="157">
        <f>SUM(D51:D57)</f>
        <v>15</v>
      </c>
      <c r="E58" s="145">
        <f>SUM(E51:E57)</f>
        <v>16</v>
      </c>
      <c r="F58" s="166">
        <f t="shared" si="7"/>
        <v>-6.6666666666666666E-2</v>
      </c>
      <c r="G58" s="158">
        <f>SUM(G51:G57)</f>
        <v>0</v>
      </c>
      <c r="H58" s="158">
        <f t="shared" ref="H58:I58" si="11">SUM(H51:H57)</f>
        <v>0</v>
      </c>
      <c r="I58" s="167">
        <f t="shared" si="11"/>
        <v>0</v>
      </c>
      <c r="J58" s="159"/>
      <c r="K58" s="160" t="s">
        <v>135</v>
      </c>
      <c r="L58" s="144">
        <f>SUM(L51:L57)</f>
        <v>76</v>
      </c>
      <c r="M58" s="145">
        <f>SUM(M51:M57)</f>
        <v>40</v>
      </c>
      <c r="N58" s="166">
        <f t="shared" si="8"/>
        <v>0.47368421052631576</v>
      </c>
      <c r="O58" s="157"/>
      <c r="P58" s="146"/>
      <c r="Q58" s="161"/>
      <c r="R58" s="162"/>
    </row>
    <row r="59" spans="3:18" ht="20.25" customHeight="1">
      <c r="C59" s="162"/>
      <c r="D59" s="162"/>
      <c r="E59" s="162"/>
      <c r="F59" s="141"/>
      <c r="G59" s="141"/>
      <c r="H59" s="141"/>
      <c r="I59" s="162"/>
      <c r="J59" s="162"/>
      <c r="K59" s="162"/>
      <c r="L59" s="162"/>
      <c r="M59" s="162"/>
      <c r="N59" s="162"/>
      <c r="O59" s="162"/>
      <c r="P59" s="162"/>
      <c r="Q59" s="162"/>
      <c r="R59" s="162"/>
    </row>
    <row r="60" spans="3:18" ht="12.75" customHeight="1"/>
    <row r="61" spans="3:18" ht="24" customHeight="1"/>
    <row r="62" spans="3:18" ht="24" customHeight="1"/>
    <row r="63" spans="3:18" ht="24" customHeight="1"/>
    <row r="64" spans="3:18" ht="24" customHeight="1"/>
    <row r="65" spans="3:3" ht="24" customHeight="1"/>
    <row r="66" spans="3:3" ht="24" customHeight="1">
      <c r="C66" s="51" t="s">
        <v>1</v>
      </c>
    </row>
    <row r="67" spans="3:3" ht="24" customHeight="1"/>
    <row r="68" spans="3:3" ht="24" customHeight="1"/>
    <row r="69" spans="3:3" ht="24" customHeight="1">
      <c r="C69" s="51" t="s">
        <v>1</v>
      </c>
    </row>
    <row r="70" spans="3:3" ht="24" customHeight="1">
      <c r="C70" s="51" t="s">
        <v>1</v>
      </c>
    </row>
    <row r="71" spans="3:3" ht="24" customHeight="1"/>
    <row r="72" spans="3:3" ht="15.75" customHeight="1"/>
    <row r="75" spans="3:3" ht="12" customHeight="1"/>
    <row r="76" spans="3:3" ht="12.75" customHeight="1"/>
    <row r="80" spans="3:3" ht="12" customHeight="1"/>
    <row r="81" ht="12" customHeight="1"/>
    <row r="82" ht="12.75" customHeight="1"/>
    <row r="85" ht="12" customHeight="1"/>
    <row r="86" ht="12" customHeight="1"/>
    <row r="87" ht="12.75" customHeight="1"/>
  </sheetData>
  <sheetProtection password="E2F1" sheet="1" objects="1" scenarios="1" selectLockedCells="1"/>
  <mergeCells count="44">
    <mergeCell ref="C27:Q27"/>
    <mergeCell ref="O14:O15"/>
    <mergeCell ref="C17:Q17"/>
    <mergeCell ref="C18:I18"/>
    <mergeCell ref="K18:Q18"/>
    <mergeCell ref="C19:Q19"/>
    <mergeCell ref="M14:N15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</mergeCells>
  <conditionalFormatting sqref="F49:F55 N49:N55 F21:F25 N21:N25 N28:N47 F28:F47">
    <cfRule type="cellIs" dxfId="9" priority="4" operator="between">
      <formula>0.9</formula>
      <formula>1</formula>
    </cfRule>
  </conditionalFormatting>
  <conditionalFormatting sqref="F51:F57 N51:N57">
    <cfRule type="cellIs" dxfId="8" priority="3" operator="between">
      <formula>0.9</formula>
      <formula>1</formula>
    </cfRule>
  </conditionalFormatting>
  <conditionalFormatting sqref="F29:F34">
    <cfRule type="cellIs" dxfId="7" priority="2" operator="between">
      <formula>0.9</formula>
      <formula>1</formula>
    </cfRule>
  </conditionalFormatting>
  <conditionalFormatting sqref="F29:F34">
    <cfRule type="cellIs" dxfId="6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>
    <pageSetUpPr fitToPage="1"/>
  </sheetPr>
  <dimension ref="B1:AA86"/>
  <sheetViews>
    <sheetView showGridLines="0" tabSelected="1" topLeftCell="A19" zoomScale="85" zoomScaleNormal="85" workbookViewId="0">
      <selection activeCell="M35" sqref="M35"/>
    </sheetView>
  </sheetViews>
  <sheetFormatPr defaultColWidth="9.140625" defaultRowHeight="12"/>
  <cols>
    <col min="1" max="1" width="4.28515625" style="51" customWidth="1"/>
    <col min="2" max="2" width="0.85546875" style="51" customWidth="1"/>
    <col min="3" max="3" width="17.140625" style="51" customWidth="1"/>
    <col min="4" max="4" width="13" style="51" customWidth="1"/>
    <col min="5" max="5" width="9.5703125" style="51" customWidth="1"/>
    <col min="6" max="6" width="11.7109375" style="51" customWidth="1"/>
    <col min="7" max="7" width="10.42578125" style="51" customWidth="1"/>
    <col min="8" max="8" width="12" style="51" customWidth="1"/>
    <col min="9" max="9" width="11.85546875" style="51" customWidth="1"/>
    <col min="10" max="10" width="3.140625" style="51" customWidth="1"/>
    <col min="11" max="11" width="18" style="51" customWidth="1"/>
    <col min="12" max="12" width="13.140625" style="51" customWidth="1"/>
    <col min="13" max="13" width="12.140625" style="51" customWidth="1"/>
    <col min="14" max="14" width="12" style="51" customWidth="1"/>
    <col min="15" max="15" width="11.28515625" style="51" customWidth="1"/>
    <col min="16" max="16" width="11.5703125" style="51" customWidth="1"/>
    <col min="17" max="17" width="11.42578125" style="51" customWidth="1"/>
    <col min="18" max="16384" width="9.140625" style="51"/>
  </cols>
  <sheetData>
    <row r="1" spans="2:27" ht="12.75" thickBot="1"/>
    <row r="2" spans="2:27" ht="37.5" customHeight="1" thickBot="1">
      <c r="C2" s="327" t="s">
        <v>75</v>
      </c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9"/>
    </row>
    <row r="3" spans="2:27" s="50" customFormat="1" ht="11.25" customHeight="1" thickBot="1">
      <c r="C3" s="56"/>
      <c r="D3" s="56"/>
      <c r="E3" s="56"/>
      <c r="F3" s="56"/>
      <c r="G3" s="4"/>
      <c r="H3" s="4"/>
      <c r="I3" s="4"/>
      <c r="J3" s="4"/>
      <c r="K3" s="4"/>
      <c r="L3" s="4"/>
      <c r="M3" s="4"/>
      <c r="N3" s="4"/>
      <c r="O3" s="4"/>
    </row>
    <row r="4" spans="2:27" s="50" customFormat="1" ht="21" customHeight="1" thickBot="1">
      <c r="C4" s="58" t="s">
        <v>12</v>
      </c>
      <c r="D4" s="330">
        <v>43977</v>
      </c>
      <c r="E4" s="331"/>
      <c r="F4" s="91"/>
      <c r="G4" s="57"/>
      <c r="H4" s="58" t="s">
        <v>0</v>
      </c>
      <c r="I4" s="133">
        <v>0.79166666666666663</v>
      </c>
      <c r="J4" s="4"/>
      <c r="K4" s="58" t="s">
        <v>152</v>
      </c>
      <c r="L4" s="309" t="s">
        <v>186</v>
      </c>
      <c r="M4" s="310"/>
      <c r="N4" s="310"/>
      <c r="O4" s="311"/>
    </row>
    <row r="5" spans="2:27" s="50" customFormat="1" ht="21" customHeight="1" thickBot="1">
      <c r="C5" s="170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27" ht="17.25" customHeight="1" thickBot="1">
      <c r="B6" s="332" t="s">
        <v>138</v>
      </c>
      <c r="C6" s="333"/>
      <c r="D6" s="333"/>
      <c r="E6" s="333"/>
      <c r="F6" s="333"/>
      <c r="G6" s="334"/>
      <c r="I6" s="318" t="s">
        <v>11</v>
      </c>
      <c r="J6" s="319"/>
      <c r="K6" s="319"/>
      <c r="L6" s="319"/>
      <c r="M6" s="319"/>
      <c r="N6" s="319"/>
      <c r="O6" s="319"/>
      <c r="P6" s="320"/>
      <c r="W6" s="312"/>
      <c r="X6" s="312"/>
      <c r="Y6" s="312"/>
      <c r="Z6" s="312"/>
      <c r="AA6" s="312"/>
    </row>
    <row r="7" spans="2:27" ht="25.5" customHeight="1">
      <c r="B7" s="335" t="s">
        <v>5</v>
      </c>
      <c r="C7" s="336"/>
      <c r="D7" s="336"/>
      <c r="E7" s="336"/>
      <c r="F7" s="336"/>
      <c r="G7" s="127"/>
      <c r="H7" s="50"/>
      <c r="I7" s="342" t="s">
        <v>149</v>
      </c>
      <c r="J7" s="313" t="s">
        <v>9</v>
      </c>
      <c r="K7" s="313"/>
      <c r="L7" s="313" t="s">
        <v>150</v>
      </c>
      <c r="M7" s="313" t="s">
        <v>10</v>
      </c>
      <c r="N7" s="313"/>
      <c r="O7" s="313" t="s">
        <v>143</v>
      </c>
      <c r="P7" s="321" t="s">
        <v>151</v>
      </c>
      <c r="W7" s="1"/>
      <c r="X7" s="1"/>
      <c r="Y7" s="1"/>
      <c r="Z7" s="1"/>
      <c r="AA7" s="1"/>
    </row>
    <row r="8" spans="2:27" ht="22.5" customHeight="1">
      <c r="B8" s="337" t="s">
        <v>4</v>
      </c>
      <c r="C8" s="338"/>
      <c r="D8" s="338"/>
      <c r="E8" s="338"/>
      <c r="F8" s="338"/>
      <c r="G8" s="128"/>
      <c r="H8" s="5"/>
      <c r="I8" s="343"/>
      <c r="J8" s="314"/>
      <c r="K8" s="314"/>
      <c r="L8" s="314"/>
      <c r="M8" s="314"/>
      <c r="N8" s="314"/>
      <c r="O8" s="314"/>
      <c r="P8" s="322"/>
      <c r="W8" s="106"/>
      <c r="X8" s="107"/>
      <c r="Y8" s="108"/>
      <c r="Z8" s="106"/>
      <c r="AA8" s="106"/>
    </row>
    <row r="9" spans="2:27" ht="20.25" customHeight="1">
      <c r="B9" s="337" t="s">
        <v>6</v>
      </c>
      <c r="C9" s="338"/>
      <c r="D9" s="338"/>
      <c r="E9" s="338"/>
      <c r="F9" s="338"/>
      <c r="G9" s="129"/>
      <c r="H9" s="5"/>
      <c r="I9" s="347"/>
      <c r="J9" s="316"/>
      <c r="K9" s="316"/>
      <c r="L9" s="316"/>
      <c r="M9" s="316"/>
      <c r="N9" s="316"/>
      <c r="O9" s="316"/>
      <c r="P9" s="323"/>
      <c r="W9" s="312"/>
      <c r="X9" s="312"/>
      <c r="Y9" s="312"/>
      <c r="Z9" s="312"/>
      <c r="AA9" s="312"/>
    </row>
    <row r="10" spans="2:27" ht="25.5" customHeight="1" thickBot="1">
      <c r="B10" s="337" t="s">
        <v>141</v>
      </c>
      <c r="C10" s="338"/>
      <c r="D10" s="338"/>
      <c r="E10" s="338"/>
      <c r="F10" s="338"/>
      <c r="G10" s="130">
        <v>6</v>
      </c>
      <c r="H10" s="50"/>
      <c r="I10" s="348"/>
      <c r="J10" s="317"/>
      <c r="K10" s="317"/>
      <c r="L10" s="317"/>
      <c r="M10" s="317"/>
      <c r="N10" s="317"/>
      <c r="O10" s="317"/>
      <c r="P10" s="324"/>
      <c r="W10" s="109"/>
      <c r="X10" s="109"/>
      <c r="Y10" s="109"/>
      <c r="Z10" s="109"/>
      <c r="AA10" s="109"/>
    </row>
    <row r="11" spans="2:27" ht="20.25" customHeight="1" thickBot="1">
      <c r="B11" s="337" t="s">
        <v>140</v>
      </c>
      <c r="C11" s="338"/>
      <c r="D11" s="338"/>
      <c r="E11" s="338"/>
      <c r="F11" s="338"/>
      <c r="G11" s="131"/>
      <c r="H11" s="50"/>
      <c r="I11" s="344" t="s">
        <v>144</v>
      </c>
      <c r="J11" s="345"/>
      <c r="K11" s="345"/>
      <c r="L11" s="345"/>
      <c r="M11" s="345"/>
      <c r="N11" s="345"/>
      <c r="O11" s="346"/>
      <c r="P11" s="50"/>
      <c r="W11" s="50"/>
      <c r="X11" s="50"/>
      <c r="Y11" s="50"/>
      <c r="Z11" s="50"/>
      <c r="AA11" s="50"/>
    </row>
    <row r="12" spans="2:27" ht="20.25" customHeight="1">
      <c r="B12" s="351" t="s">
        <v>142</v>
      </c>
      <c r="C12" s="352"/>
      <c r="D12" s="352"/>
      <c r="E12" s="352"/>
      <c r="F12" s="353"/>
      <c r="G12" s="130"/>
      <c r="H12" s="50"/>
      <c r="I12" s="380" t="s">
        <v>17</v>
      </c>
      <c r="J12" s="382" t="s">
        <v>148</v>
      </c>
      <c r="K12" s="383"/>
      <c r="L12" s="386" t="s">
        <v>7</v>
      </c>
      <c r="M12" s="382" t="s">
        <v>18</v>
      </c>
      <c r="N12" s="383"/>
      <c r="O12" s="339" t="s">
        <v>74</v>
      </c>
      <c r="W12" s="170"/>
      <c r="X12" s="170"/>
      <c r="Y12" s="170"/>
      <c r="Z12" s="170"/>
      <c r="AA12" s="170"/>
    </row>
    <row r="13" spans="2:27" ht="21" customHeight="1" thickBot="1">
      <c r="B13" s="349" t="s">
        <v>82</v>
      </c>
      <c r="C13" s="350"/>
      <c r="D13" s="350"/>
      <c r="E13" s="350"/>
      <c r="F13" s="350"/>
      <c r="G13" s="132"/>
      <c r="H13" s="2"/>
      <c r="I13" s="381"/>
      <c r="J13" s="384"/>
      <c r="K13" s="385"/>
      <c r="L13" s="387"/>
      <c r="M13" s="384"/>
      <c r="N13" s="385"/>
      <c r="O13" s="340"/>
      <c r="U13" s="109"/>
      <c r="V13" s="109"/>
      <c r="W13" s="109"/>
      <c r="X13" s="109"/>
      <c r="Y13" s="109"/>
    </row>
    <row r="14" spans="2:27" ht="24.75" customHeight="1">
      <c r="B14" s="341"/>
      <c r="C14" s="341"/>
      <c r="D14" s="341"/>
      <c r="E14" s="341"/>
      <c r="F14" s="341"/>
      <c r="G14" s="120"/>
      <c r="H14" s="2"/>
      <c r="I14" s="369"/>
      <c r="J14" s="371"/>
      <c r="K14" s="372"/>
      <c r="L14" s="375"/>
      <c r="M14" s="371"/>
      <c r="N14" s="377"/>
      <c r="O14" s="325"/>
      <c r="U14" s="109"/>
      <c r="V14" s="109"/>
      <c r="W14" s="109"/>
      <c r="X14" s="109"/>
      <c r="Y14" s="109"/>
    </row>
    <row r="15" spans="2:27" ht="15" customHeight="1" thickBot="1">
      <c r="H15" s="2"/>
      <c r="I15" s="370"/>
      <c r="J15" s="373"/>
      <c r="K15" s="374"/>
      <c r="L15" s="376"/>
      <c r="M15" s="378"/>
      <c r="N15" s="379"/>
      <c r="O15" s="326"/>
      <c r="V15" s="50"/>
      <c r="W15" s="50"/>
      <c r="X15" s="50"/>
      <c r="Y15" s="50"/>
      <c r="Z15" s="50"/>
    </row>
    <row r="16" spans="2:27" ht="10.5" customHeight="1" thickBot="1">
      <c r="B16" s="171"/>
      <c r="C16" s="171"/>
      <c r="D16" s="171"/>
      <c r="E16" s="171"/>
      <c r="F16" s="171"/>
      <c r="G16" s="120"/>
      <c r="H16" s="2"/>
      <c r="I16" s="119"/>
      <c r="J16" s="119"/>
      <c r="K16" s="119"/>
      <c r="L16" s="119"/>
      <c r="M16" s="119"/>
      <c r="N16" s="119"/>
      <c r="O16" s="9"/>
      <c r="V16" s="50"/>
      <c r="W16" s="50"/>
      <c r="X16" s="50"/>
      <c r="Y16" s="50"/>
      <c r="Z16" s="50"/>
    </row>
    <row r="17" spans="3:18" ht="20.25" customHeight="1" thickBot="1">
      <c r="C17" s="366" t="s">
        <v>133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68"/>
      <c r="R17" s="48"/>
    </row>
    <row r="18" spans="3:18" ht="20.25" customHeight="1" thickBot="1">
      <c r="C18" s="360" t="s">
        <v>153</v>
      </c>
      <c r="D18" s="361"/>
      <c r="E18" s="361"/>
      <c r="F18" s="361"/>
      <c r="G18" s="361"/>
      <c r="H18" s="361"/>
      <c r="I18" s="362"/>
      <c r="J18" s="50"/>
      <c r="K18" s="357" t="s">
        <v>154</v>
      </c>
      <c r="L18" s="358"/>
      <c r="M18" s="358"/>
      <c r="N18" s="358"/>
      <c r="O18" s="358"/>
      <c r="P18" s="358"/>
      <c r="Q18" s="359"/>
      <c r="R18" s="104"/>
    </row>
    <row r="19" spans="3:18" ht="20.25" customHeight="1" thickBot="1">
      <c r="C19" s="366" t="s">
        <v>8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367"/>
      <c r="O19" s="367"/>
      <c r="P19" s="367"/>
      <c r="Q19" s="368"/>
      <c r="R19" s="48"/>
    </row>
    <row r="20" spans="3:18" ht="24.75" customHeight="1" thickBot="1">
      <c r="C20" s="95" t="s">
        <v>136</v>
      </c>
      <c r="D20" s="95" t="s">
        <v>13</v>
      </c>
      <c r="E20" s="95" t="s">
        <v>76</v>
      </c>
      <c r="F20" s="95" t="s">
        <v>16</v>
      </c>
      <c r="G20" s="95" t="s">
        <v>72</v>
      </c>
      <c r="H20" s="95" t="s">
        <v>71</v>
      </c>
      <c r="I20" s="95" t="s">
        <v>77</v>
      </c>
      <c r="J20" s="117"/>
      <c r="K20" s="126" t="s">
        <v>136</v>
      </c>
      <c r="L20" s="126" t="s">
        <v>13</v>
      </c>
      <c r="M20" s="126" t="s">
        <v>76</v>
      </c>
      <c r="N20" s="172" t="s">
        <v>16</v>
      </c>
      <c r="O20" s="126" t="s">
        <v>72</v>
      </c>
      <c r="P20" s="126" t="s">
        <v>71</v>
      </c>
      <c r="Q20" s="126" t="s">
        <v>77</v>
      </c>
    </row>
    <row r="21" spans="3:18" ht="23.25" customHeight="1" thickBot="1">
      <c r="C21" s="135" t="s">
        <v>129</v>
      </c>
      <c r="D21" s="136">
        <v>20</v>
      </c>
      <c r="E21" s="60">
        <v>17</v>
      </c>
      <c r="F21" s="100">
        <f t="shared" ref="F21:F26" si="0">IF(ISBLANK(E21)," 0%", (IF(E21,(D21-E21)/D21,1)))</f>
        <v>0.15</v>
      </c>
      <c r="G21" s="52"/>
      <c r="H21" s="52"/>
      <c r="I21" s="62"/>
      <c r="J21" s="6"/>
      <c r="K21" s="121" t="s">
        <v>130</v>
      </c>
      <c r="L21" s="122">
        <v>6</v>
      </c>
      <c r="M21" s="123">
        <v>4</v>
      </c>
      <c r="N21" s="100">
        <f t="shared" ref="N21:N25" si="1">IF(ISBLANK(M21)," 0%", (IF(M21,(L21-M21)/L21,1)))</f>
        <v>0.33333333333333331</v>
      </c>
      <c r="O21" s="124"/>
      <c r="P21" s="124"/>
      <c r="Q21" s="125"/>
    </row>
    <row r="22" spans="3:18" ht="32.25" customHeight="1" thickBot="1">
      <c r="C22" s="137" t="s">
        <v>128</v>
      </c>
      <c r="D22" s="138">
        <v>6</v>
      </c>
      <c r="E22" s="63">
        <v>4</v>
      </c>
      <c r="F22" s="100">
        <f t="shared" si="0"/>
        <v>0.33333333333333331</v>
      </c>
      <c r="G22" s="54"/>
      <c r="H22" s="54"/>
      <c r="I22" s="55"/>
      <c r="J22" s="1"/>
      <c r="K22" s="116" t="s">
        <v>172</v>
      </c>
      <c r="L22" s="112">
        <v>8</v>
      </c>
      <c r="M22" s="63">
        <v>2</v>
      </c>
      <c r="N22" s="100">
        <f t="shared" si="1"/>
        <v>0.75</v>
      </c>
      <c r="O22" s="54"/>
      <c r="P22" s="54"/>
      <c r="Q22" s="55"/>
    </row>
    <row r="23" spans="3:18" ht="32.25" customHeight="1" thickBot="1">
      <c r="C23" s="137" t="s">
        <v>189</v>
      </c>
      <c r="D23" s="138">
        <v>2</v>
      </c>
      <c r="E23" s="63"/>
      <c r="F23" s="100" t="str">
        <f t="shared" si="0"/>
        <v xml:space="preserve"> 0%</v>
      </c>
      <c r="G23" s="54"/>
      <c r="H23" s="54"/>
      <c r="I23" s="55"/>
      <c r="J23" s="1"/>
      <c r="K23" s="116" t="s">
        <v>173</v>
      </c>
      <c r="L23" s="112">
        <v>8</v>
      </c>
      <c r="M23" s="63">
        <v>2</v>
      </c>
      <c r="N23" s="100">
        <f t="shared" si="1"/>
        <v>0.75</v>
      </c>
      <c r="O23" s="54"/>
      <c r="P23" s="54"/>
      <c r="Q23" s="55"/>
    </row>
    <row r="24" spans="3:18" ht="25.5" customHeight="1" thickBot="1">
      <c r="C24" s="137"/>
      <c r="D24" s="138"/>
      <c r="E24" s="65"/>
      <c r="F24" s="100" t="str">
        <f t="shared" si="0"/>
        <v xml:space="preserve"> 0%</v>
      </c>
      <c r="G24" s="54"/>
      <c r="H24" s="54"/>
      <c r="I24" s="55"/>
      <c r="J24" s="1"/>
      <c r="K24" s="115" t="s">
        <v>131</v>
      </c>
      <c r="L24" s="112">
        <v>4</v>
      </c>
      <c r="M24" s="63">
        <v>0</v>
      </c>
      <c r="N24" s="100">
        <f t="shared" si="1"/>
        <v>1</v>
      </c>
      <c r="O24" s="54"/>
      <c r="P24" s="54"/>
      <c r="Q24" s="55"/>
    </row>
    <row r="25" spans="3:18" ht="25.5" customHeight="1" thickBot="1">
      <c r="C25" s="139"/>
      <c r="D25" s="140"/>
      <c r="E25" s="134"/>
      <c r="F25" s="164" t="str">
        <f t="shared" si="0"/>
        <v xml:space="preserve"> 0%</v>
      </c>
      <c r="G25" s="67"/>
      <c r="H25" s="67"/>
      <c r="I25" s="44"/>
      <c r="J25" s="1"/>
      <c r="K25" s="116" t="s">
        <v>132</v>
      </c>
      <c r="L25" s="113">
        <v>3</v>
      </c>
      <c r="M25" s="114">
        <v>1</v>
      </c>
      <c r="N25" s="164">
        <f t="shared" si="1"/>
        <v>0.66666666666666663</v>
      </c>
      <c r="O25" s="67"/>
      <c r="P25" s="67"/>
      <c r="Q25" s="44"/>
    </row>
    <row r="26" spans="3:18" ht="19.5" customHeight="1" thickBot="1">
      <c r="C26" s="168" t="s">
        <v>135</v>
      </c>
      <c r="D26" s="169">
        <f>SUM(D21:D25)</f>
        <v>28</v>
      </c>
      <c r="E26" s="145">
        <f>SUM(E21:E25)</f>
        <v>21</v>
      </c>
      <c r="F26" s="166">
        <f t="shared" si="0"/>
        <v>0.25</v>
      </c>
      <c r="G26" s="158">
        <f>SUM(G21:G25)</f>
        <v>0</v>
      </c>
      <c r="H26" s="158">
        <f>SUM(H21:H25)</f>
        <v>0</v>
      </c>
      <c r="I26" s="161">
        <f>SUM(I21:I25)</f>
        <v>0</v>
      </c>
      <c r="J26" s="141"/>
      <c r="K26" s="147" t="s">
        <v>135</v>
      </c>
      <c r="L26" s="144">
        <f>SUM(L21:L25)</f>
        <v>29</v>
      </c>
      <c r="M26" s="145">
        <f>SUM(M21:M25)</f>
        <v>9</v>
      </c>
      <c r="N26" s="166">
        <f>IF(ISBLANK(M26)," 0%", (IF(M26,(L26-M26)/L26,1)))</f>
        <v>0.68965517241379315</v>
      </c>
      <c r="O26" s="158">
        <f>SUM(O21:O25)</f>
        <v>0</v>
      </c>
      <c r="P26" s="158">
        <f>SUM(P21:P25)</f>
        <v>0</v>
      </c>
      <c r="Q26" s="167">
        <f>SUM(Q21:Q25)</f>
        <v>0</v>
      </c>
    </row>
    <row r="27" spans="3:18" ht="19.5" customHeight="1" thickBot="1">
      <c r="C27" s="363" t="s">
        <v>134</v>
      </c>
      <c r="D27" s="364"/>
      <c r="E27" s="364"/>
      <c r="F27" s="364"/>
      <c r="G27" s="364"/>
      <c r="H27" s="364"/>
      <c r="I27" s="364"/>
      <c r="J27" s="364"/>
      <c r="K27" s="364"/>
      <c r="L27" s="364"/>
      <c r="M27" s="364"/>
      <c r="N27" s="364"/>
      <c r="O27" s="364"/>
      <c r="P27" s="364"/>
      <c r="Q27" s="365"/>
      <c r="R27" s="104"/>
    </row>
    <row r="28" spans="3:18" ht="25.5" customHeight="1" thickBot="1">
      <c r="C28" s="95" t="s">
        <v>2</v>
      </c>
      <c r="D28" s="95" t="s">
        <v>13</v>
      </c>
      <c r="E28" s="95" t="s">
        <v>73</v>
      </c>
      <c r="F28" s="95" t="s">
        <v>16</v>
      </c>
      <c r="G28" s="95" t="s">
        <v>69</v>
      </c>
      <c r="H28" s="95" t="s">
        <v>77</v>
      </c>
      <c r="I28" s="95" t="s">
        <v>78</v>
      </c>
      <c r="J28" s="50"/>
      <c r="K28" s="96" t="s">
        <v>2</v>
      </c>
      <c r="L28" s="96" t="s">
        <v>13</v>
      </c>
      <c r="M28" s="96" t="s">
        <v>73</v>
      </c>
      <c r="N28" s="97" t="s">
        <v>16</v>
      </c>
      <c r="O28" s="96" t="s">
        <v>69</v>
      </c>
      <c r="P28" s="96" t="s">
        <v>77</v>
      </c>
      <c r="Q28" s="96" t="s">
        <v>78</v>
      </c>
    </row>
    <row r="29" spans="3:18" ht="15.75" customHeight="1" thickBot="1">
      <c r="C29" s="148" t="s">
        <v>3</v>
      </c>
      <c r="D29" s="149">
        <v>23</v>
      </c>
      <c r="E29" s="60"/>
      <c r="F29" s="100" t="str">
        <f t="shared" ref="F29:F35" si="2">IF(ISBLANK(E29)," 0%", (IF(E29,(D29-E29)/D29,1)))</f>
        <v xml:space="preserve"> 0%</v>
      </c>
      <c r="G29" s="52"/>
      <c r="H29" s="52"/>
      <c r="I29" s="62"/>
      <c r="J29" s="50"/>
      <c r="K29" s="98" t="s">
        <v>146</v>
      </c>
      <c r="L29" s="45">
        <v>22</v>
      </c>
      <c r="M29" s="94">
        <v>0</v>
      </c>
      <c r="N29" s="100">
        <f t="shared" ref="N29:N47" si="3">IF(ISBLANK(M29)," 0%", (IF(M29,(L29-M29)/L29,1)))</f>
        <v>1</v>
      </c>
      <c r="O29" s="52"/>
      <c r="P29" s="52">
        <v>2</v>
      </c>
      <c r="Q29" s="62">
        <v>4</v>
      </c>
    </row>
    <row r="30" spans="3:18" ht="15.75" customHeight="1" thickBot="1">
      <c r="C30" s="150" t="s">
        <v>3</v>
      </c>
      <c r="D30" s="151">
        <v>21</v>
      </c>
      <c r="E30" s="59"/>
      <c r="F30" s="100" t="str">
        <f t="shared" si="2"/>
        <v xml:space="preserve"> 0%</v>
      </c>
      <c r="G30" s="49" t="s">
        <v>147</v>
      </c>
      <c r="H30" s="53"/>
      <c r="I30" s="64"/>
      <c r="J30" s="50"/>
      <c r="K30" s="99">
        <v>22</v>
      </c>
      <c r="L30" s="46">
        <v>15</v>
      </c>
      <c r="M30" s="63">
        <v>2</v>
      </c>
      <c r="N30" s="100">
        <f t="shared" si="3"/>
        <v>0.8666666666666667</v>
      </c>
      <c r="O30" s="53"/>
      <c r="P30" s="53">
        <v>0</v>
      </c>
      <c r="Q30" s="64">
        <v>3</v>
      </c>
    </row>
    <row r="31" spans="3:18" ht="15.75" customHeight="1" thickBot="1">
      <c r="C31" s="150">
        <v>51</v>
      </c>
      <c r="D31" s="151">
        <v>10</v>
      </c>
      <c r="E31" s="59">
        <v>3</v>
      </c>
      <c r="F31" s="100">
        <f>IF(ISBLANK(E31)," 0%", (IF(E31,(D31-E31)/D31,1)))</f>
        <v>0.7</v>
      </c>
      <c r="G31" s="53"/>
      <c r="H31" s="53">
        <v>0</v>
      </c>
      <c r="I31" s="64">
        <v>2</v>
      </c>
      <c r="J31" s="50"/>
      <c r="K31" s="99">
        <v>23</v>
      </c>
      <c r="L31" s="46">
        <v>26</v>
      </c>
      <c r="M31" s="63">
        <v>4</v>
      </c>
      <c r="N31" s="100">
        <f t="shared" si="3"/>
        <v>0.84615384615384615</v>
      </c>
      <c r="O31" s="53"/>
      <c r="P31" s="53">
        <v>0</v>
      </c>
      <c r="Q31" s="64">
        <v>11</v>
      </c>
    </row>
    <row r="32" spans="3:18" ht="15.75" customHeight="1" thickBot="1">
      <c r="C32" s="150">
        <v>43</v>
      </c>
      <c r="D32" s="151">
        <v>24</v>
      </c>
      <c r="E32" s="63">
        <v>11</v>
      </c>
      <c r="F32" s="100">
        <f t="shared" si="2"/>
        <v>0.54166666666666663</v>
      </c>
      <c r="G32" s="53"/>
      <c r="H32" s="53"/>
      <c r="I32" s="64"/>
      <c r="J32" s="50"/>
      <c r="K32" s="99">
        <v>32</v>
      </c>
      <c r="L32" s="46">
        <v>23</v>
      </c>
      <c r="M32" s="63">
        <v>0</v>
      </c>
      <c r="N32" s="100">
        <f t="shared" si="3"/>
        <v>1</v>
      </c>
      <c r="O32" s="53"/>
      <c r="P32" s="53">
        <v>0</v>
      </c>
      <c r="Q32" s="64">
        <v>1</v>
      </c>
    </row>
    <row r="33" spans="3:21" ht="15.75" customHeight="1" thickBot="1">
      <c r="C33" s="150">
        <v>34</v>
      </c>
      <c r="D33" s="151">
        <v>4</v>
      </c>
      <c r="E33" s="63">
        <v>4</v>
      </c>
      <c r="F33" s="100">
        <f t="shared" si="2"/>
        <v>0</v>
      </c>
      <c r="G33" s="53"/>
      <c r="H33" s="53"/>
      <c r="I33" s="64"/>
      <c r="J33" s="50"/>
      <c r="K33" s="99">
        <v>34</v>
      </c>
      <c r="L33" s="46">
        <v>12</v>
      </c>
      <c r="M33" s="63">
        <v>5</v>
      </c>
      <c r="N33" s="100">
        <f t="shared" si="3"/>
        <v>0.58333333333333337</v>
      </c>
      <c r="O33" s="53"/>
      <c r="P33" s="53">
        <v>0</v>
      </c>
      <c r="Q33" s="64">
        <v>2</v>
      </c>
    </row>
    <row r="34" spans="3:21" ht="15.75" customHeight="1" thickBot="1">
      <c r="C34" s="150">
        <v>22</v>
      </c>
      <c r="D34" s="151">
        <v>4</v>
      </c>
      <c r="E34" s="63">
        <v>2</v>
      </c>
      <c r="F34" s="100">
        <f t="shared" si="2"/>
        <v>0.5</v>
      </c>
      <c r="G34" s="53"/>
      <c r="H34" s="53"/>
      <c r="I34" s="64"/>
      <c r="J34" s="50"/>
      <c r="K34" s="99">
        <v>41</v>
      </c>
      <c r="L34" s="46">
        <v>21</v>
      </c>
      <c r="M34" s="63">
        <v>1</v>
      </c>
      <c r="N34" s="100">
        <f t="shared" si="3"/>
        <v>0.95238095238095233</v>
      </c>
      <c r="O34" s="53"/>
      <c r="P34" s="53">
        <v>0</v>
      </c>
      <c r="Q34" s="64">
        <v>2</v>
      </c>
    </row>
    <row r="35" spans="3:21" ht="15.75" customHeight="1" thickBot="1">
      <c r="C35" s="150"/>
      <c r="D35" s="151"/>
      <c r="E35" s="59"/>
      <c r="F35" s="100" t="str">
        <f t="shared" si="2"/>
        <v xml:space="preserve"> 0%</v>
      </c>
      <c r="G35" s="53"/>
      <c r="H35" s="53"/>
      <c r="I35" s="64"/>
      <c r="J35" s="50"/>
      <c r="K35" s="99">
        <v>42</v>
      </c>
      <c r="L35" s="46">
        <v>24</v>
      </c>
      <c r="M35" s="63">
        <v>1</v>
      </c>
      <c r="N35" s="100">
        <f t="shared" si="3"/>
        <v>0.95833333333333337</v>
      </c>
      <c r="O35" s="53"/>
      <c r="P35" s="53">
        <v>0</v>
      </c>
      <c r="Q35" s="64">
        <v>2</v>
      </c>
    </row>
    <row r="36" spans="3:21" ht="15.75" customHeight="1" thickBot="1">
      <c r="C36" s="150"/>
      <c r="D36" s="151"/>
      <c r="E36" s="59"/>
      <c r="F36" s="100" t="str">
        <f t="shared" ref="F36:F47" si="4">IF(ISBLANK(E36)," 0%", (IF(E36,(D36-E36)/D36,1)))</f>
        <v xml:space="preserve"> 0%</v>
      </c>
      <c r="G36" s="53"/>
      <c r="H36" s="53"/>
      <c r="I36" s="64"/>
      <c r="J36" s="50"/>
      <c r="K36" s="99">
        <v>44</v>
      </c>
      <c r="L36" s="46">
        <v>30</v>
      </c>
      <c r="M36" s="63">
        <v>0</v>
      </c>
      <c r="N36" s="100">
        <f t="shared" si="3"/>
        <v>1</v>
      </c>
      <c r="O36" s="53"/>
      <c r="P36" s="53">
        <v>0</v>
      </c>
      <c r="Q36" s="64">
        <v>2</v>
      </c>
      <c r="S36" s="51" t="s">
        <v>1</v>
      </c>
    </row>
    <row r="37" spans="3:21" ht="15.75" customHeight="1" thickBot="1">
      <c r="C37" s="150"/>
      <c r="D37" s="151"/>
      <c r="E37" s="59"/>
      <c r="F37" s="100" t="str">
        <f t="shared" si="4"/>
        <v xml:space="preserve"> 0%</v>
      </c>
      <c r="G37" s="53"/>
      <c r="H37" s="53"/>
      <c r="I37" s="64"/>
      <c r="J37" s="50"/>
      <c r="K37" s="99">
        <v>31</v>
      </c>
      <c r="L37" s="46">
        <v>24</v>
      </c>
      <c r="M37" s="63"/>
      <c r="N37" s="100" t="str">
        <f t="shared" si="3"/>
        <v xml:space="preserve"> 0%</v>
      </c>
      <c r="O37" s="53"/>
      <c r="P37" s="53"/>
      <c r="Q37" s="64"/>
    </row>
    <row r="38" spans="3:21" ht="15.75" customHeight="1" thickBot="1">
      <c r="C38" s="150"/>
      <c r="D38" s="151"/>
      <c r="E38" s="59"/>
      <c r="F38" s="100" t="str">
        <f t="shared" si="4"/>
        <v xml:space="preserve"> 0%</v>
      </c>
      <c r="G38" s="53"/>
      <c r="H38" s="53"/>
      <c r="I38" s="64"/>
      <c r="J38" s="105"/>
      <c r="K38" s="99">
        <v>33</v>
      </c>
      <c r="L38" s="46">
        <v>23</v>
      </c>
      <c r="M38" s="63"/>
      <c r="N38" s="100" t="str">
        <f t="shared" si="3"/>
        <v xml:space="preserve"> 0%</v>
      </c>
      <c r="O38" s="53"/>
      <c r="P38" s="53"/>
      <c r="Q38" s="64"/>
      <c r="U38" s="51" t="s">
        <v>1</v>
      </c>
    </row>
    <row r="39" spans="3:21" ht="15.75" customHeight="1" thickBot="1">
      <c r="C39" s="150"/>
      <c r="D39" s="151"/>
      <c r="E39" s="59"/>
      <c r="F39" s="100" t="str">
        <f t="shared" si="4"/>
        <v xml:space="preserve"> 0%</v>
      </c>
      <c r="G39" s="53"/>
      <c r="H39" s="53"/>
      <c r="I39" s="55"/>
      <c r="J39" s="50"/>
      <c r="K39" s="99">
        <v>52</v>
      </c>
      <c r="L39" s="46">
        <v>24</v>
      </c>
      <c r="M39" s="63"/>
      <c r="N39" s="100" t="str">
        <f t="shared" si="3"/>
        <v xml:space="preserve"> 0%</v>
      </c>
      <c r="O39" s="53"/>
      <c r="P39" s="53"/>
      <c r="Q39" s="64"/>
    </row>
    <row r="40" spans="3:21" ht="15.75" customHeight="1" thickBot="1">
      <c r="C40" s="150"/>
      <c r="D40" s="151"/>
      <c r="E40" s="59"/>
      <c r="F40" s="100" t="str">
        <f t="shared" si="4"/>
        <v xml:space="preserve"> 0%</v>
      </c>
      <c r="G40" s="53"/>
      <c r="H40" s="53"/>
      <c r="I40" s="55"/>
      <c r="J40" s="50"/>
      <c r="K40" s="111">
        <v>53</v>
      </c>
      <c r="L40" s="46">
        <v>24</v>
      </c>
      <c r="M40" s="63"/>
      <c r="N40" s="100" t="str">
        <f t="shared" si="3"/>
        <v xml:space="preserve"> 0%</v>
      </c>
      <c r="O40" s="53"/>
      <c r="P40" s="53"/>
      <c r="Q40" s="64"/>
    </row>
    <row r="41" spans="3:21" ht="15.75" customHeight="1" thickBot="1">
      <c r="C41" s="150"/>
      <c r="D41" s="151"/>
      <c r="E41" s="59"/>
      <c r="F41" s="100" t="str">
        <f t="shared" si="4"/>
        <v xml:space="preserve"> 0%</v>
      </c>
      <c r="G41" s="53"/>
      <c r="H41" s="53"/>
      <c r="I41" s="55"/>
      <c r="J41" s="50"/>
      <c r="K41" s="111">
        <v>54</v>
      </c>
      <c r="L41" s="46">
        <v>24</v>
      </c>
      <c r="M41" s="63"/>
      <c r="N41" s="100" t="str">
        <f t="shared" si="3"/>
        <v xml:space="preserve"> 0%</v>
      </c>
      <c r="O41" s="53"/>
      <c r="P41" s="53"/>
      <c r="Q41" s="64"/>
    </row>
    <row r="42" spans="3:21" ht="15.75" customHeight="1" thickBot="1">
      <c r="C42" s="150"/>
      <c r="D42" s="151"/>
      <c r="E42" s="59"/>
      <c r="F42" s="100" t="str">
        <f t="shared" si="4"/>
        <v xml:space="preserve"> 0%</v>
      </c>
      <c r="G42" s="53"/>
      <c r="H42" s="53"/>
      <c r="I42" s="55"/>
      <c r="J42" s="50"/>
      <c r="K42" s="99">
        <v>5</v>
      </c>
      <c r="L42" s="90">
        <v>7</v>
      </c>
      <c r="M42" s="63"/>
      <c r="N42" s="100" t="str">
        <f t="shared" si="3"/>
        <v xml:space="preserve"> 0%</v>
      </c>
      <c r="O42" s="49"/>
      <c r="P42" s="53"/>
      <c r="Q42" s="64"/>
    </row>
    <row r="43" spans="3:21" ht="15.75" customHeight="1" thickBot="1">
      <c r="C43" s="150"/>
      <c r="D43" s="151"/>
      <c r="E43" s="59"/>
      <c r="F43" s="100" t="str">
        <f t="shared" ref="F43" si="5">IF(ISBLANK(E43)," 0%", (IF(E43,(D43-E43)/D43,1)))</f>
        <v xml:space="preserve"> 0%</v>
      </c>
      <c r="G43" s="53"/>
      <c r="H43" s="53"/>
      <c r="I43" s="55"/>
      <c r="J43" s="50"/>
      <c r="K43" s="99">
        <v>5</v>
      </c>
      <c r="L43" s="90">
        <v>3</v>
      </c>
      <c r="M43" s="63"/>
      <c r="N43" s="100" t="str">
        <f t="shared" ref="N43" si="6">IF(ISBLANK(M43)," 0%", (IF(M43,(L43-M43)/L43,1)))</f>
        <v xml:space="preserve"> 0%</v>
      </c>
      <c r="O43" s="49" t="s">
        <v>147</v>
      </c>
      <c r="P43" s="53"/>
      <c r="Q43" s="64"/>
    </row>
    <row r="44" spans="3:21" ht="15.75" customHeight="1" thickBot="1">
      <c r="C44" s="150"/>
      <c r="D44" s="151"/>
      <c r="E44" s="59"/>
      <c r="F44" s="100" t="str">
        <f t="shared" si="4"/>
        <v xml:space="preserve"> 0%</v>
      </c>
      <c r="G44" s="53"/>
      <c r="H44" s="53"/>
      <c r="I44" s="55"/>
      <c r="J44" s="50"/>
      <c r="K44" s="99" t="s">
        <v>68</v>
      </c>
      <c r="L44" s="61">
        <v>10</v>
      </c>
      <c r="M44" s="63"/>
      <c r="N44" s="100" t="str">
        <f t="shared" si="3"/>
        <v xml:space="preserve"> 0%</v>
      </c>
      <c r="O44" s="49" t="s">
        <v>147</v>
      </c>
      <c r="P44" s="53"/>
      <c r="Q44" s="64"/>
    </row>
    <row r="45" spans="3:21" ht="15.75" customHeight="1" thickBot="1">
      <c r="C45" s="150"/>
      <c r="D45" s="151"/>
      <c r="E45" s="59"/>
      <c r="F45" s="100" t="str">
        <f t="shared" si="4"/>
        <v xml:space="preserve"> 0%</v>
      </c>
      <c r="G45" s="53"/>
      <c r="H45" s="53"/>
      <c r="I45" s="55"/>
      <c r="J45" s="50"/>
      <c r="K45" s="99">
        <v>9</v>
      </c>
      <c r="L45" s="61">
        <v>11</v>
      </c>
      <c r="M45" s="63"/>
      <c r="N45" s="100" t="str">
        <f t="shared" si="3"/>
        <v xml:space="preserve"> 0%</v>
      </c>
      <c r="O45" s="49" t="s">
        <v>147</v>
      </c>
      <c r="P45" s="53"/>
      <c r="Q45" s="64"/>
    </row>
    <row r="46" spans="3:21" ht="15.75" customHeight="1" thickBot="1">
      <c r="C46" s="150"/>
      <c r="D46" s="151"/>
      <c r="E46" s="59"/>
      <c r="F46" s="100" t="str">
        <f t="shared" si="4"/>
        <v xml:space="preserve"> 0%</v>
      </c>
      <c r="G46" s="53"/>
      <c r="H46" s="53"/>
      <c r="I46" s="55"/>
      <c r="J46" s="50"/>
      <c r="K46" s="99">
        <v>10</v>
      </c>
      <c r="L46" s="61">
        <v>16</v>
      </c>
      <c r="M46" s="63"/>
      <c r="N46" s="100" t="str">
        <f t="shared" si="3"/>
        <v xml:space="preserve"> 0%</v>
      </c>
      <c r="O46" s="49" t="s">
        <v>147</v>
      </c>
      <c r="P46" s="53"/>
      <c r="Q46" s="64"/>
    </row>
    <row r="47" spans="3:21" ht="15.75" customHeight="1" thickBot="1">
      <c r="C47" s="152"/>
      <c r="D47" s="142"/>
      <c r="E47" s="93"/>
      <c r="F47" s="100" t="str">
        <f t="shared" si="4"/>
        <v xml:space="preserve"> 0%</v>
      </c>
      <c r="G47" s="8"/>
      <c r="H47" s="8"/>
      <c r="I47" s="66"/>
      <c r="J47" s="50"/>
      <c r="K47" s="99">
        <v>13</v>
      </c>
      <c r="L47" s="61">
        <v>12</v>
      </c>
      <c r="M47" s="63"/>
      <c r="N47" s="100" t="str">
        <f t="shared" si="3"/>
        <v xml:space="preserve"> 0%</v>
      </c>
      <c r="O47" s="49" t="s">
        <v>147</v>
      </c>
      <c r="P47" s="53"/>
      <c r="Q47" s="64"/>
    </row>
    <row r="48" spans="3:21" ht="15.75" customHeight="1" thickBot="1">
      <c r="C48" s="143" t="s">
        <v>135</v>
      </c>
      <c r="D48" s="144">
        <f>SUM(D29:D47)</f>
        <v>86</v>
      </c>
      <c r="E48" s="145">
        <f>SUM(E29:E47)</f>
        <v>20</v>
      </c>
      <c r="F48" s="100">
        <f>IF(ISBLANK(E48)," 0%", (IF(E48,(D48-E48)/D48,1)))</f>
        <v>0.76744186046511631</v>
      </c>
      <c r="G48" s="146">
        <f>SUM(G29:G47)</f>
        <v>0</v>
      </c>
      <c r="H48" s="146">
        <f>SUM(H29:H47)</f>
        <v>0</v>
      </c>
      <c r="I48" s="146">
        <f>SUM(I29:I47)</f>
        <v>2</v>
      </c>
      <c r="J48" s="141"/>
      <c r="K48" s="147" t="s">
        <v>135</v>
      </c>
      <c r="L48" s="144">
        <f>SUM(L29:L47)</f>
        <v>351</v>
      </c>
      <c r="M48" s="145">
        <f>SUM(M29:M47)</f>
        <v>13</v>
      </c>
      <c r="N48" s="100">
        <f>IF(ISBLANK(M48)," 0%", (IF(M48,(L48-M48)/L48,1)))</f>
        <v>0.96296296296296291</v>
      </c>
      <c r="O48" s="146">
        <f>SUM(O29:O47)</f>
        <v>0</v>
      </c>
      <c r="P48" s="146">
        <f>SUM(P29:P47)</f>
        <v>2</v>
      </c>
      <c r="Q48" s="146">
        <f>SUM(Q29:Q47)</f>
        <v>27</v>
      </c>
    </row>
    <row r="49" spans="3:18" ht="18.75" customHeight="1" thickBot="1">
      <c r="C49" s="354" t="s">
        <v>145</v>
      </c>
      <c r="D49" s="355"/>
      <c r="E49" s="355"/>
      <c r="F49" s="355"/>
      <c r="G49" s="355"/>
      <c r="H49" s="355"/>
      <c r="I49" s="355"/>
      <c r="J49" s="355"/>
      <c r="K49" s="355"/>
      <c r="L49" s="355"/>
      <c r="M49" s="355"/>
      <c r="N49" s="355"/>
      <c r="O49" s="355"/>
      <c r="P49" s="355"/>
      <c r="Q49" s="356"/>
      <c r="R49" s="48"/>
    </row>
    <row r="50" spans="3:18" ht="29.25" customHeight="1" thickBot="1">
      <c r="C50" s="153" t="s">
        <v>2</v>
      </c>
      <c r="D50" s="153" t="s">
        <v>13</v>
      </c>
      <c r="E50" s="95" t="s">
        <v>73</v>
      </c>
      <c r="F50" s="95" t="s">
        <v>16</v>
      </c>
      <c r="G50" s="95" t="s">
        <v>69</v>
      </c>
      <c r="H50" s="95" t="s">
        <v>77</v>
      </c>
      <c r="I50" s="95" t="s">
        <v>70</v>
      </c>
      <c r="J50" s="1"/>
      <c r="K50" s="126" t="s">
        <v>2</v>
      </c>
      <c r="L50" s="126" t="s">
        <v>13</v>
      </c>
      <c r="M50" s="126" t="s">
        <v>73</v>
      </c>
      <c r="N50" s="126" t="s">
        <v>137</v>
      </c>
      <c r="O50" s="192" t="s">
        <v>16</v>
      </c>
      <c r="P50" s="126" t="s">
        <v>69</v>
      </c>
      <c r="Q50" s="126" t="s">
        <v>77</v>
      </c>
      <c r="R50" s="117"/>
    </row>
    <row r="51" spans="3:18" ht="23.25" customHeight="1" thickBot="1">
      <c r="C51" s="154" t="s">
        <v>175</v>
      </c>
      <c r="D51" s="149">
        <v>4</v>
      </c>
      <c r="E51" s="60"/>
      <c r="F51" s="100" t="str">
        <f t="shared" ref="F51:F57" si="7">IF(ISBLANK(E51)," 0%", (IF(E51,(D51-E51)/D51,1)))</f>
        <v xml:space="preserve"> 0%</v>
      </c>
      <c r="G51" s="52"/>
      <c r="H51" s="52"/>
      <c r="I51" s="62"/>
      <c r="J51" s="50"/>
      <c r="K51" s="103" t="s">
        <v>175</v>
      </c>
      <c r="L51" s="45">
        <v>5</v>
      </c>
      <c r="M51" s="60"/>
      <c r="N51" s="100" t="str">
        <f t="shared" ref="N51:N57" si="8">IF(ISBLANK(M51)," 0%", (IF(M51,(L51-M51)/L51,1)))</f>
        <v xml:space="preserve"> 0%</v>
      </c>
      <c r="O51" s="52"/>
      <c r="P51" s="52"/>
      <c r="Q51" s="62"/>
    </row>
    <row r="52" spans="3:18" ht="26.25" customHeight="1" thickBot="1">
      <c r="C52" s="155" t="s">
        <v>80</v>
      </c>
      <c r="D52" s="151">
        <v>8</v>
      </c>
      <c r="E52" s="59"/>
      <c r="F52" s="100" t="str">
        <f t="shared" si="7"/>
        <v xml:space="preserve"> 0%</v>
      </c>
      <c r="G52" s="53"/>
      <c r="H52" s="53"/>
      <c r="I52" s="64"/>
      <c r="J52" s="1"/>
      <c r="K52" s="102" t="s">
        <v>176</v>
      </c>
      <c r="L52" s="46">
        <v>10</v>
      </c>
      <c r="M52" s="59"/>
      <c r="N52" s="100" t="str">
        <f t="shared" si="8"/>
        <v xml:space="preserve"> 0%</v>
      </c>
      <c r="O52" s="53"/>
      <c r="P52" s="53"/>
      <c r="Q52" s="64"/>
    </row>
    <row r="53" spans="3:18" ht="28.5" customHeight="1" thickBot="1">
      <c r="C53" s="155" t="s">
        <v>15</v>
      </c>
      <c r="D53" s="151">
        <v>3</v>
      </c>
      <c r="E53" s="59"/>
      <c r="F53" s="100" t="str">
        <f>IF(ISBLANK(E53)," 0%", (IF(E53,(D53-E53)/D53,1)))</f>
        <v xml:space="preserve"> 0%</v>
      </c>
      <c r="G53" s="53"/>
      <c r="H53" s="53"/>
      <c r="I53" s="55"/>
      <c r="J53" s="9"/>
      <c r="K53" s="101" t="s">
        <v>86</v>
      </c>
      <c r="L53" s="46">
        <v>4</v>
      </c>
      <c r="M53" s="59"/>
      <c r="N53" s="100" t="str">
        <f t="shared" si="8"/>
        <v xml:space="preserve"> 0%</v>
      </c>
      <c r="O53" s="53"/>
      <c r="P53" s="53"/>
      <c r="Q53" s="64"/>
    </row>
    <row r="54" spans="3:18" ht="27.75" customHeight="1" thickBot="1">
      <c r="C54" s="155"/>
      <c r="D54" s="151"/>
      <c r="E54" s="59"/>
      <c r="F54" s="100" t="str">
        <f>IF(ISBLANK(E54)," 0%", (IF(E54,(D54-E54)/D54,1)))</f>
        <v xml:space="preserve"> 0%</v>
      </c>
      <c r="G54" s="53"/>
      <c r="H54" s="53"/>
      <c r="I54" s="55"/>
      <c r="J54" s="9"/>
      <c r="K54" s="101" t="s">
        <v>79</v>
      </c>
      <c r="L54" s="46">
        <v>3</v>
      </c>
      <c r="M54" s="59"/>
      <c r="N54" s="100" t="str">
        <f t="shared" si="8"/>
        <v xml:space="preserve"> 0%</v>
      </c>
      <c r="O54" s="53"/>
      <c r="P54" s="53"/>
      <c r="Q54" s="64"/>
    </row>
    <row r="55" spans="3:18" ht="28.5" customHeight="1" thickBot="1">
      <c r="C55" s="155"/>
      <c r="D55" s="151"/>
      <c r="E55" s="59"/>
      <c r="F55" s="100" t="str">
        <f>IF(ISBLANK(E55)," 0%", (IF(E55,(D55-E55)/D55,1)))</f>
        <v xml:space="preserve"> 0%</v>
      </c>
      <c r="G55" s="53"/>
      <c r="H55" s="53"/>
      <c r="I55" s="64"/>
      <c r="J55" s="1"/>
      <c r="K55" s="101" t="s">
        <v>14</v>
      </c>
      <c r="L55" s="46">
        <v>21</v>
      </c>
      <c r="M55" s="59"/>
      <c r="N55" s="100" t="str">
        <f t="shared" si="8"/>
        <v xml:space="preserve"> 0%</v>
      </c>
      <c r="O55" s="53"/>
      <c r="P55" s="53"/>
      <c r="Q55" s="64"/>
    </row>
    <row r="56" spans="3:18" ht="23.25" customHeight="1" thickBot="1">
      <c r="C56" s="163"/>
      <c r="D56" s="156"/>
      <c r="E56" s="93"/>
      <c r="F56" s="164" t="str">
        <f t="shared" si="7"/>
        <v xml:space="preserve"> 0%</v>
      </c>
      <c r="G56" s="67"/>
      <c r="H56" s="67"/>
      <c r="I56" s="66"/>
      <c r="J56" s="50"/>
      <c r="K56" s="102" t="s">
        <v>80</v>
      </c>
      <c r="L56" s="46">
        <v>16</v>
      </c>
      <c r="M56" s="93"/>
      <c r="N56" s="100" t="str">
        <f t="shared" si="8"/>
        <v xml:space="preserve"> 0%</v>
      </c>
      <c r="O56" s="10"/>
      <c r="P56" s="8"/>
      <c r="Q56" s="66"/>
    </row>
    <row r="57" spans="3:18" ht="27.6" customHeight="1" thickBot="1">
      <c r="C57" s="165" t="s">
        <v>135</v>
      </c>
      <c r="D57" s="157">
        <f>SUM(D51:D56)</f>
        <v>15</v>
      </c>
      <c r="E57" s="145">
        <f>SUM(E51:E56)</f>
        <v>0</v>
      </c>
      <c r="F57" s="166">
        <f t="shared" si="7"/>
        <v>1</v>
      </c>
      <c r="G57" s="158">
        <f>SUM(G51:G56)</f>
        <v>0</v>
      </c>
      <c r="H57" s="158">
        <f t="shared" ref="H57:I57" si="9">SUM(H51:H56)</f>
        <v>0</v>
      </c>
      <c r="I57" s="167">
        <f t="shared" si="9"/>
        <v>0</v>
      </c>
      <c r="J57" s="159"/>
      <c r="K57" s="92" t="s">
        <v>15</v>
      </c>
      <c r="L57" s="47">
        <v>17</v>
      </c>
      <c r="M57" s="145">
        <f>SUM(M51:M56)</f>
        <v>0</v>
      </c>
      <c r="N57" s="166">
        <f t="shared" si="8"/>
        <v>1</v>
      </c>
      <c r="O57" s="157"/>
      <c r="P57" s="146"/>
      <c r="Q57" s="161"/>
      <c r="R57" s="162"/>
    </row>
    <row r="58" spans="3:18" ht="20.25" customHeight="1">
      <c r="C58" s="162"/>
      <c r="D58" s="162"/>
      <c r="E58" s="162"/>
      <c r="F58" s="141"/>
      <c r="G58" s="141"/>
      <c r="H58" s="141"/>
      <c r="I58" s="162"/>
      <c r="J58" s="162"/>
      <c r="K58" s="162"/>
      <c r="L58" s="162"/>
      <c r="M58" s="162"/>
      <c r="N58" s="162"/>
      <c r="O58" s="162"/>
      <c r="P58" s="162"/>
      <c r="Q58" s="162"/>
      <c r="R58" s="162"/>
    </row>
    <row r="59" spans="3:18" ht="12.75" customHeight="1"/>
    <row r="60" spans="3:18" ht="24" customHeight="1"/>
    <row r="61" spans="3:18" ht="24" customHeight="1"/>
    <row r="62" spans="3:18" ht="24" customHeight="1"/>
    <row r="63" spans="3:18" ht="24" customHeight="1"/>
    <row r="64" spans="3:18" ht="24" customHeight="1"/>
    <row r="65" spans="3:3" ht="24" customHeight="1">
      <c r="C65" s="51" t="s">
        <v>1</v>
      </c>
    </row>
    <row r="66" spans="3:3" ht="24" customHeight="1"/>
    <row r="67" spans="3:3" ht="24" customHeight="1"/>
    <row r="68" spans="3:3" ht="24" customHeight="1">
      <c r="C68" s="51" t="s">
        <v>1</v>
      </c>
    </row>
    <row r="69" spans="3:3" ht="24" customHeight="1">
      <c r="C69" s="51" t="s">
        <v>1</v>
      </c>
    </row>
    <row r="70" spans="3:3" ht="24" customHeight="1"/>
    <row r="71" spans="3:3" ht="15.75" customHeight="1"/>
    <row r="74" spans="3:3" ht="12" customHeight="1"/>
    <row r="75" spans="3:3" ht="12.75" customHeight="1"/>
    <row r="79" spans="3:3" ht="12" customHeight="1"/>
    <row r="80" spans="3:3" ht="12" customHeight="1"/>
    <row r="81" ht="12.75" customHeight="1"/>
    <row r="84" ht="12" customHeight="1"/>
    <row r="85" ht="12" customHeight="1"/>
    <row r="86" ht="12.75" customHeight="1"/>
  </sheetData>
  <sheetProtection password="9D31" sheet="1" objects="1" scenarios="1" selectLockedCells="1"/>
  <mergeCells count="44">
    <mergeCell ref="C27:Q27"/>
    <mergeCell ref="O14:O15"/>
    <mergeCell ref="C17:Q17"/>
    <mergeCell ref="C18:I18"/>
    <mergeCell ref="K18:Q18"/>
    <mergeCell ref="C19:Q19"/>
    <mergeCell ref="M14:N15"/>
    <mergeCell ref="W9:AA9"/>
    <mergeCell ref="B10:F10"/>
    <mergeCell ref="B11:F11"/>
    <mergeCell ref="I11:O11"/>
    <mergeCell ref="B12:F12"/>
    <mergeCell ref="I12:I13"/>
    <mergeCell ref="J12:K13"/>
    <mergeCell ref="L12:L13"/>
    <mergeCell ref="M12:N13"/>
    <mergeCell ref="O12:O13"/>
    <mergeCell ref="B13:F13"/>
    <mergeCell ref="W6:AA6"/>
    <mergeCell ref="L4:O4"/>
    <mergeCell ref="O7:O8"/>
    <mergeCell ref="P7:P8"/>
    <mergeCell ref="B8:F8"/>
    <mergeCell ref="B7:F7"/>
    <mergeCell ref="I7:I8"/>
    <mergeCell ref="J7:K8"/>
    <mergeCell ref="L7:L8"/>
    <mergeCell ref="M7:N8"/>
    <mergeCell ref="C49:Q49"/>
    <mergeCell ref="C2:O2"/>
    <mergeCell ref="D4:E4"/>
    <mergeCell ref="B6:G6"/>
    <mergeCell ref="I6:P6"/>
    <mergeCell ref="B9:F9"/>
    <mergeCell ref="I9:I10"/>
    <mergeCell ref="J9:K10"/>
    <mergeCell ref="L9:L10"/>
    <mergeCell ref="M9:N10"/>
    <mergeCell ref="O9:O10"/>
    <mergeCell ref="P9:P10"/>
    <mergeCell ref="B14:F14"/>
    <mergeCell ref="I14:I15"/>
    <mergeCell ref="J14:K15"/>
    <mergeCell ref="L14:L15"/>
  </mergeCells>
  <conditionalFormatting sqref="F49:F54 N49:N54 F21:F25 N21:N25 N28:N47 F28:F47">
    <cfRule type="cellIs" dxfId="5" priority="6" operator="between">
      <formula>0.9</formula>
      <formula>1</formula>
    </cfRule>
  </conditionalFormatting>
  <conditionalFormatting sqref="F51:F56 N51:N56">
    <cfRule type="cellIs" dxfId="4" priority="5" operator="between">
      <formula>0.9</formula>
      <formula>1</formula>
    </cfRule>
  </conditionalFormatting>
  <conditionalFormatting sqref="F51:F56 N51:N56">
    <cfRule type="cellIs" dxfId="3" priority="4" operator="between">
      <formula>0.9</formula>
      <formula>1</formula>
    </cfRule>
  </conditionalFormatting>
  <conditionalFormatting sqref="F29:F35">
    <cfRule type="cellIs" dxfId="2" priority="3" operator="between">
      <formula>0.9</formula>
      <formula>1</formula>
    </cfRule>
  </conditionalFormatting>
  <conditionalFormatting sqref="F29:F34">
    <cfRule type="cellIs" dxfId="1" priority="2" operator="between">
      <formula>0.9</formula>
      <formula>1</formula>
    </cfRule>
  </conditionalFormatting>
  <conditionalFormatting sqref="F29:F34">
    <cfRule type="cellIs" dxfId="0" priority="1" operator="between">
      <formula>0.9</formula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48" orientation="portrait" r:id="rId1"/>
  <headerFooter alignWithMargins="0"/>
  <ignoredErrors>
    <ignoredError sqref="F57 N48 F4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A3"/>
  <sheetViews>
    <sheetView workbookViewId="0">
      <selection activeCell="B3" sqref="B3"/>
    </sheetView>
  </sheetViews>
  <sheetFormatPr defaultRowHeight="12.75"/>
  <sheetData>
    <row r="1" spans="1:1">
      <c r="A1" s="11" t="s">
        <v>69</v>
      </c>
    </row>
    <row r="2" spans="1:1">
      <c r="A2" s="11" t="s">
        <v>20</v>
      </c>
    </row>
    <row r="3" spans="1:1">
      <c r="A3" s="11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SAFETY HUDDLE</vt:lpstr>
      <vt:lpstr>Night Report </vt:lpstr>
      <vt:lpstr>Rag Status</vt:lpstr>
      <vt:lpstr>SG Report 10am</vt:lpstr>
      <vt:lpstr>0830</vt:lpstr>
      <vt:lpstr>1300</vt:lpstr>
      <vt:lpstr>1700</vt:lpstr>
      <vt:lpstr>1900</vt:lpstr>
      <vt:lpstr>sheet1</vt:lpstr>
      <vt:lpstr>'0830'!Print_Area</vt:lpstr>
      <vt:lpstr>'1300'!Print_Area</vt:lpstr>
      <vt:lpstr>'1700'!Print_Area</vt:lpstr>
      <vt:lpstr>'1900'!Print_Area</vt:lpstr>
      <vt:lpstr>'Night Report '!Print_Area</vt:lpstr>
    </vt:vector>
  </TitlesOfParts>
  <Company>NHS FIFE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mcivorl</cp:lastModifiedBy>
  <cp:lastPrinted>2020-04-23T13:19:15Z</cp:lastPrinted>
  <dcterms:created xsi:type="dcterms:W3CDTF">2012-12-07T14:30:54Z</dcterms:created>
  <dcterms:modified xsi:type="dcterms:W3CDTF">2020-05-26T17:39:16Z</dcterms:modified>
</cp:coreProperties>
</file>